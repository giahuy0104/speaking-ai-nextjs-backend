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D:\Code\HuaMei\App_noi\be\9_10th8\speaking-ai-nextjs-backend\outputs\ai-bico-testcases-20260817\"/>
    </mc:Choice>
  </mc:AlternateContent>
  <xr:revisionPtr revIDLastSave="0" documentId="13_ncr:1_{A5F3E461-05D1-4032-9F61-C84F775FDE1E}" xr6:coauthVersionLast="47" xr6:coauthVersionMax="47" xr10:uidLastSave="{00000000-0000-0000-0000-000000000000}"/>
  <bookViews>
    <workbookView xWindow="28680" yWindow="-120" windowWidth="29040" windowHeight="15840" activeTab="1" xr2:uid="{00000000-000D-0000-FFFF-FFFF00000000}"/>
  </bookViews>
  <sheets>
    <sheet name="Dashboard" sheetId="1" r:id="rId1"/>
    <sheet name="Test Cases" sheetId="2" r:id="rId2"/>
    <sheet name="Test Data" sheetId="3" r:id="rId3"/>
    <sheet name="Traceability" sheetId="4" r:id="rId4"/>
    <sheet name="Defect Log" sheetId="5" r:id="rId5"/>
    <sheet name="Huong dan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5" i="4" l="1"/>
  <c r="F14" i="4"/>
  <c r="F13" i="4"/>
  <c r="F12" i="4"/>
  <c r="F11" i="4"/>
  <c r="F10" i="4"/>
  <c r="F9" i="4"/>
  <c r="F8" i="4"/>
  <c r="F7" i="4"/>
  <c r="F6" i="4"/>
  <c r="F5" i="4"/>
  <c r="E19" i="1"/>
  <c r="E18" i="1"/>
  <c r="E17" i="1"/>
  <c r="E16" i="1"/>
  <c r="E15" i="1"/>
  <c r="E14" i="1"/>
  <c r="E13" i="1"/>
  <c r="B13" i="1"/>
  <c r="H12" i="1"/>
  <c r="E12" i="1"/>
  <c r="B12" i="1"/>
  <c r="H11" i="1"/>
  <c r="E11" i="1"/>
  <c r="B11" i="1"/>
  <c r="H10" i="1"/>
  <c r="E10" i="1"/>
  <c r="B10" i="1"/>
  <c r="B17" i="1" s="1"/>
  <c r="H9" i="1"/>
  <c r="E9" i="1"/>
  <c r="B9" i="1"/>
  <c r="E6" i="1"/>
  <c r="C6" i="1"/>
  <c r="A6" i="1"/>
  <c r="B15" i="1" l="1"/>
  <c r="B16" i="1" s="1"/>
</calcChain>
</file>

<file path=xl/sharedStrings.xml><?xml version="1.0" encoding="utf-8"?>
<sst xmlns="http://schemas.openxmlformats.org/spreadsheetml/2006/main" count="2169" uniqueCount="1248">
  <si>
    <t>INNOTRIK — QA TEST DASHBOARD</t>
  </si>
  <si>
    <t>Cập nhật Status trong sheet Test Cases; các chỉ số và biểu đồ sẽ tự tính lại.</t>
  </si>
  <si>
    <t>Tổng test case</t>
  </si>
  <si>
    <t>P0</t>
  </si>
  <si>
    <t>P1</t>
  </si>
  <si>
    <t>Phiên bản</t>
  </si>
  <si>
    <t>1.0.4+8</t>
  </si>
  <si>
    <t>Trạng thái</t>
  </si>
  <si>
    <t>Số lượng</t>
  </si>
  <si>
    <t>Module</t>
  </si>
  <si>
    <t>Số test</t>
  </si>
  <si>
    <t>Priority</t>
  </si>
  <si>
    <t>Not Run</t>
  </si>
  <si>
    <t>Cài đặt &amp; vòng đời</t>
  </si>
  <si>
    <t>Passed</t>
  </si>
  <si>
    <t>Main &amp; Wake word</t>
  </si>
  <si>
    <t>Failed</t>
  </si>
  <si>
    <t>Điều hướng AI</t>
  </si>
  <si>
    <t>P2</t>
  </si>
  <si>
    <t>Blocked</t>
  </si>
  <si>
    <t>Luyện nói</t>
  </si>
  <si>
    <t>P3</t>
  </si>
  <si>
    <t>N/A</t>
  </si>
  <si>
    <t>Dịch tiếng Anh</t>
  </si>
  <si>
    <t>Chủ đề &amp; lời mở đầu</t>
  </si>
  <si>
    <t>Đã thực thi</t>
  </si>
  <si>
    <t>Luyện bài</t>
  </si>
  <si>
    <t>Tỷ lệ thực thi</t>
  </si>
  <si>
    <t>Cuối bài/chủ đề</t>
  </si>
  <si>
    <t>Tỷ lệ đạt</t>
  </si>
  <si>
    <t>Từ vựng</t>
  </si>
  <si>
    <t>H20 phần cứng</t>
  </si>
  <si>
    <t>Phi chức năng</t>
  </si>
  <si>
    <t>INNOTRIK — BỘ TEST CASE TRỢ LÝ AI BI CÔ</t>
  </si>
  <si>
    <t>Phạm vi: Main/Wake word, điều hướng AI, Luyện nói, Dịch tiếng Anh, Chủ đề, bài học, Từ vựng, H20 và kiểm thử phi chức năng. Candidate: production 1.0.4+8.</t>
  </si>
  <si>
    <t>TC_ID</t>
  </si>
  <si>
    <t>Feature</t>
  </si>
  <si>
    <t>Test scenario</t>
  </si>
  <si>
    <t>Preconditions</t>
  </si>
  <si>
    <t>Test steps</t>
  </si>
  <si>
    <t>Test data</t>
  </si>
  <si>
    <t>Expected result</t>
  </si>
  <si>
    <t>Test type</t>
  </si>
  <si>
    <t>Platform</t>
  </si>
  <si>
    <t>Status</t>
  </si>
  <si>
    <t>Actual result</t>
  </si>
  <si>
    <t>Evidence / Bug ID</t>
  </si>
  <si>
    <t>Tester</t>
  </si>
  <si>
    <t>Test date</t>
  </si>
  <si>
    <t>Notes</t>
  </si>
  <si>
    <t>TC-001</t>
  </si>
  <si>
    <t>Cài đặt</t>
  </si>
  <si>
    <t>Cài mới APK production</t>
  </si>
  <si>
    <t>Thiết bị chưa cài ứng dụng</t>
  </si>
  <si>
    <t>1. Cài APK build 8
2. Mở ứng dụng</t>
  </si>
  <si>
    <t>APK build 8</t>
  </si>
  <si>
    <t>Cài đặt thành công; ứng dụng mở được; không crash; versionCode là 8.</t>
  </si>
  <si>
    <t>Compatibility</t>
  </si>
  <si>
    <t>Android</t>
  </si>
  <si>
    <t>TC-002</t>
  </si>
  <si>
    <t>Nâng cấp</t>
  </si>
  <si>
    <t>Nâng cấp từ build 7 lên build 8</t>
  </si>
  <si>
    <t>Đã cài build 7 và có tiến độ học/từ vựng</t>
  </si>
  <si>
    <t>1. Cài đè build 8
2. Mở ứng dụng
3. Kiểm tra tiến độ và từ vựng</t>
  </si>
  <si>
    <t>Build 7 → build 8</t>
  </si>
  <si>
    <t>Nâng cấp thành công; dữ liệu học, Ngôi sao và Luyện lại không bị mất.</t>
  </si>
  <si>
    <t>Regression</t>
  </si>
  <si>
    <t>TC-003</t>
  </si>
  <si>
    <t>Khởi động</t>
  </si>
  <si>
    <t>Mở ứng dụng lần đầu và cấp quyền micro</t>
  </si>
  <si>
    <t>Cài mới ứng dụng</t>
  </si>
  <si>
    <t>1. Mở ứng dụng
2. Chọn Cho phép khi hệ thống hỏi quyền micro
3. Nhấn Main</t>
  </si>
  <si>
    <t>Quyền micro: Allow</t>
  </si>
  <si>
    <t>Ứng dụng vào trang chủ; Main sử dụng được; không hỏi quyền lặp vô hạn.</t>
  </si>
  <si>
    <t>Functional</t>
  </si>
  <si>
    <t>TC-004</t>
  </si>
  <si>
    <t>Quyền micro</t>
  </si>
  <si>
    <t>Từ chối quyền micro</t>
  </si>
  <si>
    <t>1. Mở ứng dụng
2. Chọn Không cho phép
3. Thử dùng Main</t>
  </si>
  <si>
    <t>Quyền micro: Deny</t>
  </si>
  <si>
    <t>Ứng dụng không crash; hiển thị hướng dẫn cấp quyền rõ ràng; không bắt đầu ghi âm giả.</t>
  </si>
  <si>
    <t>Negative</t>
  </si>
  <si>
    <t>TC-005</t>
  </si>
  <si>
    <t>Thu hồi quyền micro khi ứng dụng đã cài</t>
  </si>
  <si>
    <t>APK production 1.0.4+8 đã cài; thiết bị Android API 24+</t>
  </si>
  <si>
    <t>1. Thu hồi quyền micro trong Settings
2. Quay lại ứng dụng
3. Nhấn Main</t>
  </si>
  <si>
    <t>Permission revoked</t>
  </si>
  <si>
    <t>Luồng ghi âm bị chặn an toàn và có thông báo thân thiện; không treo trạng thái đang nghe.</t>
  </si>
  <si>
    <t>Recovery</t>
  </si>
  <si>
    <t>TC-006</t>
  </si>
  <si>
    <t>Mở ứng dụng khi mất mạng</t>
  </si>
  <si>
    <t>APK production 1.0.4+8 đã cài; thiết bị Android API 24+; tắt Wi-Fi và dữ liệu di động</t>
  </si>
  <si>
    <t>1. Mở ứng dụng
2. Đi qua các trang chính</t>
  </si>
  <si>
    <t>Offline</t>
  </si>
  <si>
    <t>Ứng dụng vẫn mở được; nội dung cục bộ hiển thị; tính năng cần mạng báo lỗi thân thiện.</t>
  </si>
  <si>
    <t>TC-007</t>
  </si>
  <si>
    <t>Lifecycle</t>
  </si>
  <si>
    <t>Tắt màn hình rồi mở lại khi ứng dụng còn chạy</t>
  </si>
  <si>
    <t>APK production 1.0.4+8 đã cài; thiết bị Android API 24+; mạng ổn định; đã cấp quyền micro; ứng dụng đang ở foreground</t>
  </si>
  <si>
    <t>1. Tắt màn hình 15 giây
2. Mở khóa
3. Quay lại ứng dụng
4. Nhấn Main</t>
  </si>
  <si>
    <t>Screen off/on</t>
  </si>
  <si>
    <t>Không có phiên micro ma; trạng thái Main khôi phục đúng; người dùng có thể bắt đầu lượt mới.</t>
  </si>
  <si>
    <t>TC-008</t>
  </si>
  <si>
    <t>Hiển thị Main</t>
  </si>
  <si>
    <t>Main cố định trên toàn ứng dụng</t>
  </si>
  <si>
    <t>APK production 1.0.4+8 đã cài; thiết bị Android API 24+; mạng ổn định; đã cấp quyền micro</t>
  </si>
  <si>
    <t>1. Mở lần lượt Trang chủ, Từ vựng, Chủ đề, danh sách bài và bài học
2. Quan sát Main</t>
  </si>
  <si>
    <t>Các màn chính</t>
  </si>
  <si>
    <t>Main luôn hiển thị đúng vị trí, không che nút quan trọng và có thể thao tác.</t>
  </si>
  <si>
    <t>Usability</t>
  </si>
  <si>
    <t>TC-009</t>
  </si>
  <si>
    <t>Main menu</t>
  </si>
  <si>
    <t>Nhấn Main tại trang chủ</t>
  </si>
  <si>
    <t>APK production 1.0.4+8 đã cài; thiết bị Android API 24+; mạng ổn định; đã cấp quyền micro; ứng dụng đang ở trang chủ và không có audio khác đang phát</t>
  </si>
  <si>
    <t>1. Nhấn Main một lần
2. Nghe toàn bộ phản hồi</t>
  </si>
  <si>
    <t>Tap Main</t>
  </si>
  <si>
    <t>Bi cô nói đúng menu chức năng; sau khi nói xong phát tiếng tít rồi mới mở micro.</t>
  </si>
  <si>
    <t>TC-010</t>
  </si>
  <si>
    <t>TTS/Beep/ASR</t>
  </si>
  <si>
    <t>Không nghe người dùng trong lúc Bi cô đang nói</t>
  </si>
  <si>
    <t>1. Nhấn Main
2. Nói chen khi Bi cô chưa nói xong
3. Nói lại sau tiếng tít</t>
  </si>
  <si>
    <t>Nói chen trước beep</t>
  </si>
  <si>
    <t>Câu nói chen không bị xử lý; chỉ câu sau tiếng tít được nhận diện.</t>
  </si>
  <si>
    <t>Integration</t>
  </si>
  <si>
    <t>TC-011</t>
  </si>
  <si>
    <t>Chống chồng chéo</t>
  </si>
  <si>
    <t>Nhấn Main nhanh hai lần</t>
  </si>
  <si>
    <t>1. Nhấn Main hai lần trong 300 ms
2. Quan sát audio và micro</t>
  </si>
  <si>
    <t>Double tap</t>
  </si>
  <si>
    <t>Chỉ có một phiên trợ lý; không phát hai câu đồng thời; không mở hai micro.</t>
  </si>
  <si>
    <t>TC-012</t>
  </si>
  <si>
    <t>Fallback</t>
  </si>
  <si>
    <t>Nói yêu cầu không thuộc menu</t>
  </si>
  <si>
    <t>1. Nhấn Main
2. Sau tiếng tít nói câu không liên quan</t>
  </si>
  <si>
    <t>Con muốn ăn cơm</t>
  </si>
  <si>
    <t>Không điều hướng sai; Bi cô hỏi lại hoặc đưa hướng dẫn lựa chọn hợp lệ.</t>
  </si>
  <si>
    <t>TC-013</t>
  </si>
  <si>
    <t>Timeout</t>
  </si>
  <si>
    <t>Không nói trong cửa sổ lệnh đầu tiên</t>
  </si>
  <si>
    <t>1. Nhấn Main
2. Im lặng sau tiếng tít</t>
  </si>
  <si>
    <t>Im lặng ≥ 6 giây</t>
  </si>
  <si>
    <t>Bi cô hỏi lại “Con muốn làm gì?” và mở một cửa sổ nghe mới.</t>
  </si>
  <si>
    <t>TC-014</t>
  </si>
  <si>
    <t>Tiếp tục im lặng sau lần hỏi lại</t>
  </si>
  <si>
    <t>1. Nhấn Main
2. Im lặng ở cả hai cửa sổ nghe</t>
  </si>
  <si>
    <t>Im lặng hai lần</t>
  </si>
  <si>
    <t>Phiên Main kết thúc; nút trở về trạng thái ban đầu; micro được giải phóng.</t>
  </si>
  <si>
    <t>TC-015</t>
  </si>
  <si>
    <t>Wake word</t>
  </si>
  <si>
    <t>Kích hoạt bằng Hey Pico khi ứng dụng đang mở</t>
  </si>
  <si>
    <t>1. Nói Hey Pico
2. Chờ phản hồi và tiếng tít
3. Nói tên chức năng</t>
  </si>
  <si>
    <t>Hey Pico</t>
  </si>
  <si>
    <t>Ứng dụng phản hồi một lần và nhận lệnh sau tiếng tít.</t>
  </si>
  <si>
    <t>TC-016</t>
  </si>
  <si>
    <t>Nhận diện biến thể ASR của Hey Pico</t>
  </si>
  <si>
    <t>1. Lần lượt nói các biến thể
2. Theo dõi trạng thái trợ lý</t>
  </si>
  <si>
    <t>Hey Piko; Hey Bi cô; Pico</t>
  </si>
  <si>
    <t>Các biến thể được hỗ trợ kích hoạt đúng; từ không liên quan không kích hoạt.</t>
  </si>
  <si>
    <t>TC-017</t>
  </si>
  <si>
    <t>Echo guard</t>
  </si>
  <si>
    <t>Không nhận lại chính câu Bi cô vừa phát</t>
  </si>
  <si>
    <t>1. Nhấn Main
2. Để loa ngoài hoạt động bình thường
3. Không nói gì</t>
  </si>
  <si>
    <t>Prompt phát qua loa</t>
  </si>
  <si>
    <t>Prompt không bị ASR coi là lệnh của trẻ; không tự điều hướng.</t>
  </si>
  <si>
    <t>TC-018</t>
  </si>
  <si>
    <t>Audio focus</t>
  </si>
  <si>
    <t>Nhấn Main khi audio bài học đang phát</t>
  </si>
  <si>
    <t>APK production 1.0.4+8 đã cài; thiết bị Android API 24+; mạng ổn định; đã cấp quyền micro; audio mẫu đang phát</t>
  </si>
  <si>
    <t>1. Nhấn Main
2. Quan sát audio, TTS và micro</t>
  </si>
  <si>
    <t>Audio lesson active</t>
  </si>
  <si>
    <t>Audio bài học dừng/giảm đúng thiết kế; chỉ một nguồn phát; trợ lý nghe sau beep.</t>
  </si>
  <si>
    <t>TC-019</t>
  </si>
  <si>
    <t>Nhấn giữ</t>
  </si>
  <si>
    <t>Nhấn giữ Main lần 1 trong bài học</t>
  </si>
  <si>
    <t>APK production 1.0.4+8 đã cài; thiết bị Android API 24+; mạng ổn định; đã cấp quyền micro; đang ở một câu trong bài học chủ đề</t>
  </si>
  <si>
    <t>1. Nhấn giữ Main
2. Quan sát ghi âm và audio</t>
  </si>
  <si>
    <t>Long press #1</t>
  </si>
  <si>
    <t>Bài học và ghi âm dừng; ứng dụng nói “Đã dừng”; không gửi bản ghi dở lên backend.</t>
  </si>
  <si>
    <t>TC-020</t>
  </si>
  <si>
    <t>Nhấn giữ Main lần 2 để tiếp tục</t>
  </si>
  <si>
    <t>APK production 1.0.4+8 đã cài; thiết bị Android API 24+; mạng ổn định; đã cấp quyền micro; đang ở một câu trong bài học chủ đề; bài đang ở trạng thái dừng bởi Main</t>
  </si>
  <si>
    <t>1. Nhấn giữ Main lần nữa
2. Chờ phản hồi
3. Quan sát micro</t>
  </si>
  <si>
    <t>Long press #2</t>
  </si>
  <si>
    <t>Ứng dụng nói “Cùng học tiếp nhé” và tự động mở một lượt ghi âm mới.</t>
  </si>
  <si>
    <t>TC-021</t>
  </si>
  <si>
    <t>Menu chính</t>
  </si>
  <si>
    <t>Chọn Luyện nói</t>
  </si>
  <si>
    <t>1. Nhấn Main
2. Nói Con muốn luyện nói</t>
  </si>
  <si>
    <t>Con muốn luyện nói</t>
  </si>
  <si>
    <t>Mở đúng luồng Luyện nói; Bi cô nói “Bắt đầu nói đi con”.</t>
  </si>
  <si>
    <t>TC-022</t>
  </si>
  <si>
    <t>Chọn Học chủ đề</t>
  </si>
  <si>
    <t>1. Nhấn Main
2. Nói Con muốn học theo chủ đề</t>
  </si>
  <si>
    <t>Con muốn học theo chủ đề</t>
  </si>
  <si>
    <t>Bi cô hỏi tuổi và tiếp tục nghe sau tiếng tít.</t>
  </si>
  <si>
    <t>TC-023</t>
  </si>
  <si>
    <t>Chọn Từ vựng</t>
  </si>
  <si>
    <t>1. Nhấn Main
2. Nói Con muốn học từ vựng</t>
  </si>
  <si>
    <t>Con muốn học từ vựng</t>
  </si>
  <si>
    <t>Điều hướng đúng trang Từ vựng; không mở Luyện nói hoặc Chủ đề.</t>
  </si>
  <si>
    <t>TC-024</t>
  </si>
  <si>
    <t>Chọn Dịch tiếng Anh</t>
  </si>
  <si>
    <t>1. Nhấn Main
2. Nói Con muốn dịch sang tiếng Anh</t>
  </si>
  <si>
    <t>Con muốn dịch sang tiếng Anh</t>
  </si>
  <si>
    <t>Bi cô hỏi chọn Dịch một câu hay Dịch liên tục.</t>
  </si>
  <si>
    <t>TC-025</t>
  </si>
  <si>
    <t>Nhận diện ý định</t>
  </si>
  <si>
    <t>Câu lệnh không dấu</t>
  </si>
  <si>
    <t>1. Nhấn Main
2. Nói câu không dấu qua nguồn ASR giả lập</t>
  </si>
  <si>
    <t>con muon hoc chu de</t>
  </si>
  <si>
    <t>Ý định được nhận diện giống câu có dấu.</t>
  </si>
  <si>
    <t>TC-026</t>
  </si>
  <si>
    <t>Chọn tuổi</t>
  </si>
  <si>
    <t>Nói tuổi hợp lệ bằng chữ số</t>
  </si>
  <si>
    <t>APK production 1.0.4+8 đã cài; thiết bị Android API 24+; mạng ổn định; đã cấp quyền micro; Bi cô đang hỏi tuổi</t>
  </si>
  <si>
    <t>1. Nói Con 4 tuổi</t>
  </si>
  <si>
    <t>4</t>
  </si>
  <si>
    <t>Chọn nhóm tuổi 3–5 và đọc đúng số chủ đề của nhóm.</t>
  </si>
  <si>
    <t>TC-027</t>
  </si>
  <si>
    <t>Nói tuổi hợp lệ bằng chữ</t>
  </si>
  <si>
    <t>1. Nói Con sáu tuổi</t>
  </si>
  <si>
    <t>sáu</t>
  </si>
  <si>
    <t>Chọn nhóm tuổi 6–7 và đọc đúng số chủ đề.</t>
  </si>
  <si>
    <t>TC-028</t>
  </si>
  <si>
    <t>Tuổi ngoài phạm vi hỗ trợ</t>
  </si>
  <si>
    <t>1. Nói Con 2 tuổi
2. Nghe phản hồi</t>
  </si>
  <si>
    <t>2 tuổi</t>
  </si>
  <si>
    <t>Không chọn sai nhóm; Bi cô yêu cầu tuổi trong phạm vi được hỗ trợ.</t>
  </si>
  <si>
    <t>TC-029</t>
  </si>
  <si>
    <t>Câu không chứa tuổi</t>
  </si>
  <si>
    <t>1. Nói Con muốn học
2. Nghe phản hồi</t>
  </si>
  <si>
    <t>Không có số</t>
  </si>
  <si>
    <t>Không tự suy đoán tuổi; Bi cô yêu cầu nói lại với ví dụ rõ ràng.</t>
  </si>
  <si>
    <t>TC-030</t>
  </si>
  <si>
    <t>Chọn chủ đề</t>
  </si>
  <si>
    <t>Số lượng chủ đề khớp nhóm tuổi</t>
  </si>
  <si>
    <t>APK production 1.0.4+8 đã cài; thiết bị Android API 24+; mạng ổn định; đã cấp quyền micro; đã chọn một tuổi hợp lệ</t>
  </si>
  <si>
    <t>1. Nghe câu hỏi chọn chủ đề
2. Đối chiếu danh sách UI</t>
  </si>
  <si>
    <t>N = số chủ đề nhóm tuổi</t>
  </si>
  <si>
    <t>Số N Bi cô nói bằng đúng số chủ đề đang hiển thị.</t>
  </si>
  <si>
    <t>TC-031</t>
  </si>
  <si>
    <t>Chọn chủ đề hợp lệ bằng số</t>
  </si>
  <si>
    <t>APK production 1.0.4+8 đã cài; thiết bị Android API 24+; mạng ổn định; đã cấp quyền micro; đang chờ chọn chủ đề</t>
  </si>
  <si>
    <t>1. Nói Con chọn chủ đề số 3</t>
  </si>
  <si>
    <t>Chủ đề số 3</t>
  </si>
  <si>
    <t>Mở đúng chủ đề số 3 và đọc đúng số bài học.</t>
  </si>
  <si>
    <t>TC-032</t>
  </si>
  <si>
    <t>Chọn số chủ đề vượt phạm vi</t>
  </si>
  <si>
    <t>1. Nói Chủ đề số 99</t>
  </si>
  <si>
    <t>99</t>
  </si>
  <si>
    <t>Không điều hướng; Bi cô nêu phạm vi hợp lệ và tiếp tục nghe.</t>
  </si>
  <si>
    <t>TC-033</t>
  </si>
  <si>
    <t>Chọn bài</t>
  </si>
  <si>
    <t>Số lượng bài khớp nội dung chủ đề</t>
  </si>
  <si>
    <t>APK production 1.0.4+8 đã cài; thiết bị Android API 24+; mạng ổn định; đã cấp quyền micro; đã chọn chủ đề</t>
  </si>
  <si>
    <t>1. Nghe câu hỏi chọn bài
2. Đối chiếu danh sách bài</t>
  </si>
  <si>
    <t>M = số bài</t>
  </si>
  <si>
    <t>Số bài Bi cô nói khớp dữ liệu chủ đề.</t>
  </si>
  <si>
    <t>TC-034</t>
  </si>
  <si>
    <t>Chọn bài hợp lệ</t>
  </si>
  <si>
    <t>APK production 1.0.4+8 đã cài; thiết bị Android API 24+; mạng ổn định; đã cấp quyền micro; đang chờ chọn bài</t>
  </si>
  <si>
    <t>1. Nói Con học bài số 1</t>
  </si>
  <si>
    <t>Bài số 1</t>
  </si>
  <si>
    <t>Bi cô nói “Bắt đầu học thôi con”; sau đó mở đúng bài số 1.</t>
  </si>
  <si>
    <t>TC-035</t>
  </si>
  <si>
    <t>Chọn bài vượt phạm vi</t>
  </si>
  <si>
    <t>1. Nói Bài số 10 khi chủ đề có 2 bài</t>
  </si>
  <si>
    <t>10</t>
  </si>
  <si>
    <t>Không mở bài sai; Bi cô nêu phạm vi bài hợp lệ.</t>
  </si>
  <si>
    <t>TC-036</t>
  </si>
  <si>
    <t>Điều hướng trực tiếp</t>
  </si>
  <si>
    <t>Nói đồng thời chủ đề và bài</t>
  </si>
  <si>
    <t>1. Kích hoạt trợ lý
2. Nói Học chủ đề số 3 bài số 1</t>
  </si>
  <si>
    <t>Chủ đề 3, bài 1</t>
  </si>
  <si>
    <t>Mở đúng chủ đề và bài tương ứng hoặc dẫn dắt không mất ngữ cảnh.</t>
  </si>
  <si>
    <t>TC-037</t>
  </si>
  <si>
    <t>Chống lặp</t>
  </si>
  <si>
    <t>Không tự chọn số từ câu hỏi của Bi cô</t>
  </si>
  <si>
    <t>APK production 1.0.4+8 đã cài; thiết bị Android API 24+; mạng ổn định; đã cấp quyền micro; loa ngoài; đang ở bước chọn chủ đề/bài</t>
  </si>
  <si>
    <t>1. Không nói sau khi Bi cô hỏi
2. Theo dõi điều hướng</t>
  </si>
  <si>
    <t>Prompt chứa số N</t>
  </si>
  <si>
    <t>Các con số trong prompt không bị nhận là lựa chọn của trẻ.</t>
  </si>
  <si>
    <t>TC-038</t>
  </si>
  <si>
    <t>Khôi phục</t>
  </si>
  <si>
    <t>Mất mạng khi đang tải nội dung chủ đề</t>
  </si>
  <si>
    <t>APK production 1.0.4+8 đã cài; thiết bị Android API 24+; mạng ổn định; đã cấp quyền micro; đang ở bước chọn chủ đề</t>
  </si>
  <si>
    <t>1. Tắt mạng
2. Chọn chủ đề</t>
  </si>
  <si>
    <t>Offline during load</t>
  </si>
  <si>
    <t>Không crash; Bi cô báo chưa tải được và kết thúc/cho thử lại rõ ràng.</t>
  </si>
  <si>
    <t>TC-039</t>
  </si>
  <si>
    <t>Bắt đầu</t>
  </si>
  <si>
    <t>Vào Luyện nói từ Main</t>
  </si>
  <si>
    <t>1. Nhấn Main
2. Chọn Luyện nói</t>
  </si>
  <si>
    <t>Bi cô nói “Bắt đầu nói đi con”; phát beep; chuẩn bị micro.</t>
  </si>
  <si>
    <t>TC-040</t>
  </si>
  <si>
    <t>Micro</t>
  </si>
  <si>
    <t>Micro tự mở cho câu đầu</t>
  </si>
  <si>
    <t>APK production 1.0.4+8 đã cài; thiết bị Android API 24+; mạng ổn định; đã cấp quyền micro; vừa vào Luyện nói</t>
  </si>
  <si>
    <t>1. Chờ Bi cô và beep
2. Quan sát trạng thái micro</t>
  </si>
  <si>
    <t>Không nhấn thêm</t>
  </si>
  <si>
    <t>Micro tự mở đúng một lần; không cần nhấn nút Nói của tính năng cũ.</t>
  </si>
  <si>
    <t>TC-041</t>
  </si>
  <si>
    <t>VAD</t>
  </si>
  <si>
    <t>Tự động dừng khi trẻ nói xong</t>
  </si>
  <si>
    <t>APK production 1.0.4+8 đã cài; thiết bị Android API 24+; mạng ổn định; đã cấp quyền micro; micro Luyện nói đang mở</t>
  </si>
  <si>
    <t>1. Nói một câu
2. Dừng nói</t>
  </si>
  <si>
    <t>Con muốn uống nước</t>
  </si>
  <si>
    <t>Ứng dụng tự kết thúc ghi âm sau khoảng lặng; không cần nhấn Main để dừng câu.</t>
  </si>
  <si>
    <t>TC-042</t>
  </si>
  <si>
    <t>Kết quả</t>
  </si>
  <si>
    <t>Hiển thị câu gốc và câu dịch</t>
  </si>
  <si>
    <t>APK production 1.0.4+8 đã cài; thiết bị Android API 24+; mạng ổn định; đã cấp quyền micro; đã ghi âm câu hợp lệ</t>
  </si>
  <si>
    <t>1. Chờ xử lý hoàn tất
2. Kiểm tra kết quả</t>
  </si>
  <si>
    <t>Hiển thị đúng câu tiếng Việt và bản dịch tiếng Anh; không đảo ngôn ngữ.</t>
  </si>
  <si>
    <t>TC-043</t>
  </si>
  <si>
    <t>Phát âm</t>
  </si>
  <si>
    <t>Phát audio câu kết quả</t>
  </si>
  <si>
    <t>APK production 1.0.4+8 đã cài; thiết bị Android API 24+; mạng ổn định; đã cấp quyền micro; dịch thành công</t>
  </si>
  <si>
    <t>1. Nghe audio tự phát
2. Bấm nghe lại nếu có</t>
  </si>
  <si>
    <t>I want to drink water.</t>
  </si>
  <si>
    <t>Audio tiếng Anh phát rõ; nội dung khớp câu dịch; không phát chồng TTS khác.</t>
  </si>
  <si>
    <t>TC-044</t>
  </si>
  <si>
    <t>Lượt tiếp theo</t>
  </si>
  <si>
    <t>Tự tạo lượt nói mới sau audio</t>
  </si>
  <si>
    <t>APK production 1.0.4+8 đã cài; thiết bị Android API 24+; mạng ổn định; đã cấp quyền micro; audio kết quả vừa phát xong</t>
  </si>
  <si>
    <t>1. Chờ beep
2. Nói câu tiếp theo</t>
  </si>
  <si>
    <t>Câu thứ hai</t>
  </si>
  <si>
    <t>Micro tự mở lại sau beep; câu thứ hai tạo kết quả riêng, không nối vào câu trước.</t>
  </si>
  <si>
    <t>TC-045</t>
  </si>
  <si>
    <t>Im lặng 10 giây ở trạng thái sẵn sàng</t>
  </si>
  <si>
    <t>APK production 1.0.4+8 đã cài; thiết bị Android API 24+; mạng ổn định; đã cấp quyền micro; Luyện nói đang chờ câu mới</t>
  </si>
  <si>
    <t>1. Không nói trong 10 giây</t>
  </si>
  <si>
    <t>Silence 10s</t>
  </si>
  <si>
    <t>Ứng dụng nói “Tạm biệt con nhé”, thoát Luyện nói và trả Main về trạng thái ban đầu.</t>
  </si>
  <si>
    <t>TC-046</t>
  </si>
  <si>
    <t>Chuyển chức năng</t>
  </si>
  <si>
    <t>Nói Còn cái gì khác để học không</t>
  </si>
  <si>
    <t>APK production 1.0.4+8 đã cài; thiết bị Android API 24+; mạng ổn định; đã cấp quyền micro; Luyện nói đang chờ người dùng</t>
  </si>
  <si>
    <t>1. Nói Còn cái gì khác để học không</t>
  </si>
  <si>
    <t>Câu chuyển chức năng</t>
  </si>
  <si>
    <t>Không dịch câu này; thoát Luyện nói và mở menu Chủ đề/Từ vựng/Dịch.</t>
  </si>
  <si>
    <t>TC-047</t>
  </si>
  <si>
    <t>Chọn Chủ đề từ menu học khác</t>
  </si>
  <si>
    <t>APK production 1.0.4+8 đã cài; thiết bị Android API 24+; mạng ổn định; đã cấp quyền micro; menu học khác đang mở</t>
  </si>
  <si>
    <t>1. Nói Học theo chủ đề</t>
  </si>
  <si>
    <t>Học theo chủ đề</t>
  </si>
  <si>
    <t>Bắt đầu luồng hỏi tuổi; không quay lại dịch câu.</t>
  </si>
  <si>
    <t>TC-048</t>
  </si>
  <si>
    <t>PCM</t>
  </si>
  <si>
    <t>Im lặng không gây lỗi thiếu metadata PCM</t>
  </si>
  <si>
    <t>APK production 1.0.4+8 đã cài; thiết bị Android API 24+; mạng ổn định; đã cấp quyền micro; Luyện nói đang ghi/chờ</t>
  </si>
  <si>
    <t>1. Mở micro
2. Im lặng đến khi timeout</t>
  </si>
  <si>
    <t>No PCM speech frames</t>
  </si>
  <si>
    <t>Không hiển thị lỗi “Thiếu metadata PCM khi finalize Batch Chunks”; kết thúc thân thiện.</t>
  </si>
  <si>
    <t>TC-049</t>
  </si>
  <si>
    <t>API lỗi</t>
  </si>
  <si>
    <t>Backend trả Server action not found</t>
  </si>
  <si>
    <t>APK production 1.0.4+8 đã cài; thiết bị Android API 24+; mạng ổn định; đã cấp quyền micro; có thể giả lập response lỗi</t>
  </si>
  <si>
    <t>1. Gửi một lượt nói
2. Backend trả HTML/404</t>
  </si>
  <si>
    <t>HTTP 404/HTML</t>
  </si>
  <si>
    <t>Không hiện FormatException thô; hiển thị thông báo thân thiện và cho thử lại.</t>
  </si>
  <si>
    <t>TC-050</t>
  </si>
  <si>
    <t>Không kết nối được backend</t>
  </si>
  <si>
    <t>APK production 1.0.4+8 đã cài; thiết bị Android API 24+; backend không truy cập được</t>
  </si>
  <si>
    <t>1. Bắt đầu một lượt nói
2. Chờ xử lý</t>
  </si>
  <si>
    <t>Connection refused/timeout</t>
  </si>
  <si>
    <t>Không hiển thị SocketException hoặc 127.0.0.1; có thông báo thân thiện.</t>
  </si>
  <si>
    <t>TC-051</t>
  </si>
  <si>
    <t>Idempotency</t>
  </si>
  <si>
    <t>Partial và final không tạo hai kết quả</t>
  </si>
  <si>
    <t>APK production 1.0.4+8 đã cài; thiết bị Android API 24+; mạng ổn định; đã cấp quyền micro; ASR trả partial rồi final</t>
  </si>
  <si>
    <t>1. Nói một câu ngắn
2. Theo dõi lịch sử và UI</t>
  </si>
  <si>
    <t>Một utterance</t>
  </si>
  <si>
    <t>Chỉ tạo một kết quả, một audio và một bản ghi lịch sử.</t>
  </si>
  <si>
    <t>TC-052</t>
  </si>
  <si>
    <t>Chống tự nghe</t>
  </si>
  <si>
    <t>Không thu lại audio kết quả</t>
  </si>
  <si>
    <t>APK production 1.0.4+8 đã cài; thiết bị Android API 24+; mạng ổn định; đã cấp quyền micro; loa ngoài lớn</t>
  </si>
  <si>
    <t>1. Nói một câu
2. Để audio kết quả phát
3. Không nói thêm</t>
  </si>
  <si>
    <t>Speaker feedback</t>
  </si>
  <si>
    <t>Audio của ứng dụng không bị ghi thành lượt nói tiếp theo.</t>
  </si>
  <si>
    <t>TC-053</t>
  </si>
  <si>
    <t>Chọn chế độ</t>
  </si>
  <si>
    <t>Chọn Dịch một câu</t>
  </si>
  <si>
    <t>1. Nhấn Main
2. Chọn Dịch
3. Nói Dịch một câu</t>
  </si>
  <si>
    <t>Dịch một câu</t>
  </si>
  <si>
    <t>Bi cô hướng dẫn nói một câu và mở micro sau beep.</t>
  </si>
  <si>
    <t>TC-054</t>
  </si>
  <si>
    <t>Một câu</t>
  </si>
  <si>
    <t>Dịch câu tiếng Việt hợp lệ</t>
  </si>
  <si>
    <t>APK production 1.0.4+8 đã cài; thiết bị Android API 24+; mạng ổn định; đã cấp quyền micro; chế độ một câu</t>
  </si>
  <si>
    <t>1. Nói Hôm nay con đi học
2. Chờ kết quả</t>
  </si>
  <si>
    <t>Hôm nay con đi học</t>
  </si>
  <si>
    <t>Bản dịch tiếng Anh đúng nghĩa; hiển thị và phát audio một lần.</t>
  </si>
  <si>
    <t>TC-055</t>
  </si>
  <si>
    <t>Câu có tên riêng và dấu câu</t>
  </si>
  <si>
    <t>1. Nói Xin chào, con là An
2. Kiểm tra kết quả</t>
  </si>
  <si>
    <t>Xin chào, con là An.</t>
  </si>
  <si>
    <t>Giữ đúng tên An và ngữ nghĩa; không dịch sai tên riêng.</t>
  </si>
  <si>
    <t>TC-056</t>
  </si>
  <si>
    <t>Câu dài gần giới hạn ghi âm</t>
  </si>
  <si>
    <t>1. Nói liên tục một câu dài nhưng rõ
2. Chờ xử lý</t>
  </si>
  <si>
    <t>10–15 giây giọng nói</t>
  </si>
  <si>
    <t>Ứng dụng dừng an toàn, gửi đủ audio và hiển thị một kết quả hoàn chỉnh.</t>
  </si>
  <si>
    <t>Boundary</t>
  </si>
  <si>
    <t>TC-057</t>
  </si>
  <si>
    <t>Im lặng</t>
  </si>
  <si>
    <t>1. Không nói sau beep</t>
  </si>
  <si>
    <t>Silence</t>
  </si>
  <si>
    <t>Không gửi audio rỗng; không báo metadata PCM; hướng dẫn nói lại hoặc kết thúc.</t>
  </si>
  <si>
    <t>TC-058</t>
  </si>
  <si>
    <t>Liên tục</t>
  </si>
  <si>
    <t>Dịch hai câu liên tiếp</t>
  </si>
  <si>
    <t>APK production 1.0.4+8 đã cài; thiết bị Android API 24+; mạng ổn định; đã cấp quyền micro; chọn Dịch liên tục</t>
  </si>
  <si>
    <t>1. Nói câu 1
2. Chờ audio
3. Nói câu 2 sau beep</t>
  </si>
  <si>
    <t>Hai câu khác nhau</t>
  </si>
  <si>
    <t>Tạo hai kết quả độc lập theo đúng thứ tự; micro tự chuẩn bị giữa các lượt.</t>
  </si>
  <si>
    <t>TC-059</t>
  </si>
  <si>
    <t>Dừng chế độ dịch liên tục</t>
  </si>
  <si>
    <t>APK production 1.0.4+8 đã cài; thiết bị Android API 24+; mạng ổn định; đã cấp quyền micro; đang ở chế độ liên tục</t>
  </si>
  <si>
    <t>1. Nói Dừng lại hoặc dùng Main theo thiết kế</t>
  </si>
  <si>
    <t>Dừng lại</t>
  </si>
  <si>
    <t>Kết thúc chế độ; giải phóng micro; trở về trạng thái Main ban đầu.</t>
  </si>
  <si>
    <t>TC-060</t>
  </si>
  <si>
    <t>Mạng</t>
  </si>
  <si>
    <t>Mất mạng trong lúc upload</t>
  </si>
  <si>
    <t>APK production 1.0.4+8 đã cài; thiết bị Android API 24+; mạng ổn định; đã cấp quyền micro; có thể ngắt mạng giữa lượt</t>
  </si>
  <si>
    <t>1. Bắt đầu nói
2. Ngắt mạng khi đang xử lý</t>
  </si>
  <si>
    <t>Network interrupted</t>
  </si>
  <si>
    <t>Không treo vô hạn; phiên được hủy/đánh dấu lỗi; có thể thử lại sau khi có mạng.</t>
  </si>
  <si>
    <t>TC-061</t>
  </si>
  <si>
    <t>Response</t>
  </si>
  <si>
    <t>Backend trả JSON không hợp lệ</t>
  </si>
  <si>
    <t>APK production 1.0.4+8 đã cài; thiết bị Android API 24+; mạng ổn định; đã cấp quyền micro; mock invalid JSON</t>
  </si>
  <si>
    <t>1. Gửi câu dịch
2. Trả response không phải JSON</t>
  </si>
  <si>
    <t>HTML/text response</t>
  </si>
  <si>
    <t>Không hiện FormatException kỹ thuật; hiển thị lỗi thân thiện kèm mã hỗ trợ nếu có.</t>
  </si>
  <si>
    <t>TC-062</t>
  </si>
  <si>
    <t>Beep</t>
  </si>
  <si>
    <t>Phát beep sau mọi câu hướng dẫn</t>
  </si>
  <si>
    <t>APK production 1.0.4+8 đã cài; thiết bị Android API 24+; mạng ổn định; đã cấp quyền micro; thực hiện đầy đủ luồng dịch</t>
  </si>
  <si>
    <t>1. Nghe từng prompt
2. Ghi nhận thời điểm beep và micro</t>
  </si>
  <si>
    <t>Prompt menu + prompt tiếp tục</t>
  </si>
  <si>
    <t>Mỗi prompt cần phản hồi đều phát đúng một beep sau khi nói xong; micro mở sau beep.</t>
  </si>
  <si>
    <t>TC-063</t>
  </si>
  <si>
    <t>Danh mục tuổi</t>
  </si>
  <si>
    <t>Hiển thị đúng nhóm tuổi theo cấu hình trẻ</t>
  </si>
  <si>
    <t>1. Mở Chủ đề
2. Đối chiếu tab tuổi đang chọn</t>
  </si>
  <si>
    <t>Tuổi 4, 6, 9, 12, 14</t>
  </si>
  <si>
    <t>Mỗi tuổi chọn đúng nhóm 3–5, 6–7, 8–10, 11–12, 13–15.</t>
  </si>
  <si>
    <t>TC-064</t>
  </si>
  <si>
    <t>Danh mục</t>
  </si>
  <si>
    <t>Tất cả chủ đề có ảnh và tên</t>
  </si>
  <si>
    <t>1. Duyệt toàn bộ 5 nhóm tuổi
2. Kiểm tra từng thẻ</t>
  </si>
  <si>
    <t>50 chủ đề</t>
  </si>
  <si>
    <t>Không có ảnh vỡ, tiêu đề rỗng hoặc chủ đề không mở được.</t>
  </si>
  <si>
    <t>TC-065</t>
  </si>
  <si>
    <t>Tiến độ</t>
  </si>
  <si>
    <t>Hiển thị đúng bài đã học và bài tiếp tục</t>
  </si>
  <si>
    <t>APK production 1.0.4+8 đã cài; thiết bị Android API 24+; mạng ổn định; đã cấp quyền micro; có dữ liệu tiến độ</t>
  </si>
  <si>
    <t>1. Mở danh mục Chủ đề
2. Đối chiếu tiến độ thực tế</t>
  </si>
  <si>
    <t>0%, một phần, hoàn thành</t>
  </si>
  <si>
    <t>Số bài đã học, dấu hoàn thành và thẻ Tiếp tục học chính xác.</t>
  </si>
  <si>
    <t>TC-066</t>
  </si>
  <si>
    <t>AI mở đúng thẻ chủ đề đã chọn</t>
  </si>
  <si>
    <t>APK production 1.0.4+8 đã cài; thiết bị Android API 24+; mạng ổn định; đã cấp quyền micro; đang ở luồng chọn chủ đề</t>
  </si>
  <si>
    <t>1. Chọn chủ đề số 3 bằng giọng nói
2. Quan sát trang mở</t>
  </si>
  <si>
    <t>Chủ đề 3</t>
  </si>
  <si>
    <t>Tên, số thứ tự và danh sách bài thuộc đúng chủ đề 3.</t>
  </si>
  <si>
    <t>TC-067</t>
  </si>
  <si>
    <t>AI mở đúng bài và màn lời mở đầu</t>
  </si>
  <si>
    <t>1. Nói Bài số 1
2. Chờ Bi cô kết thúc
3. Quan sát màn tiếp theo</t>
  </si>
  <si>
    <t>Bài 1</t>
  </si>
  <si>
    <t>Mở LessonIntroScreen của bài 1; không bỏ qua thẳng vào luyện câu.</t>
  </si>
  <si>
    <t>TC-068</t>
  </si>
  <si>
    <t>Intro audio</t>
  </si>
  <si>
    <t>Lời mở đầu sử dụng introAudioUrl</t>
  </si>
  <si>
    <t>APK production 1.0.4+8 đã cài; thiết bị Android API 24+; mạng ổn định; đã cấp quyền micro; bài My Name có introAudioUrl</t>
  </si>
  <si>
    <t>1. Điều hướng bằng Bi cô đến My Name
2. Theo dõi URL/audio phát</t>
  </si>
  <si>
    <t>A067_T01_L01_OPEN.mp3</t>
  </si>
  <si>
    <t>Media player phát đúng introAudioUrl; nội dung nghe là file audio đã thu.</t>
  </si>
  <si>
    <t>TC-069</t>
  </si>
  <si>
    <t>Không dùng TTS của Bi cô thay lời mở đầu</t>
  </si>
  <si>
    <t>APK production 1.0.4+8 đã cài; thiết bị Android API 24+; mạng ổn định; đã cấp quyền micro; bài V2 có introAudioUrl</t>
  </si>
  <si>
    <t>1. Mở bài bằng AI
2. Phân biệt giọng audio và TTS
3. Theo dõi log gọi TTS nếu có</t>
  </si>
  <si>
    <t>My Name</t>
  </si>
  <si>
    <t>Sau câu “Bắt đầu học thôi con”, lời mở đầu không gọi speakAndWait/TTS.</t>
  </si>
  <si>
    <t>TC-070</t>
  </si>
  <si>
    <t>Auto advance</t>
  </si>
  <si>
    <t>Tự vào phần luyện sau khi intro audio kết thúc</t>
  </si>
  <si>
    <t>APK production 1.0.4+8 đã cài; thiết bị Android API 24+; mạng ổn định; đã cấp quyền micro; introAudioUrl phát được</t>
  </si>
  <si>
    <t>1. Mở bài
2. Không bấm Bỏ qua
3. Chờ audio kết thúc</t>
  </si>
  <si>
    <t>Audio intro hợp lệ</t>
  </si>
  <si>
    <t>Tự chuyển đúng một lần sang màn bài học; không dừng ở loading.</t>
  </si>
  <si>
    <t>TC-071</t>
  </si>
  <si>
    <t>Thiếu audio</t>
  </si>
  <si>
    <t>introAudioUrl rỗng</t>
  </si>
  <si>
    <t>APK production 1.0.4+8 đã cài; thiết bị Android API 24+; mạng ổn định; đã cấp quyền micro; bài test có introAudioUrl = null</t>
  </si>
  <si>
    <t>1. Mở bài
2. Quan sát trạng thái</t>
  </si>
  <si>
    <t>null</t>
  </si>
  <si>
    <t>Không dùng TTS; hiển thị “Không thể phát lời mở đầu” và cho phép Bỏ qua.</t>
  </si>
  <si>
    <t>TC-072</t>
  </si>
  <si>
    <t>Audio lỗi</t>
  </si>
  <si>
    <t>introAudioUrl trả 404 hoặc timeout</t>
  </si>
  <si>
    <t>APK production 1.0.4+8 đã cài; thiết bị Android API 24+; mạng ổn định; đã cấp quyền micro; mock URL lỗi</t>
  </si>
  <si>
    <t>1. Mở bài
2. Chờ phát lỗi
3. Bấm Bỏ qua</t>
  </si>
  <si>
    <t>HTTP 404/timeout</t>
  </si>
  <si>
    <t>Không crash/không TTS fallback; hiển thị lỗi; Bỏ qua mở được bài học.</t>
  </si>
  <si>
    <t>TC-073</t>
  </si>
  <si>
    <t>Back</t>
  </si>
  <si>
    <t>Quay lại khi intro đang phát</t>
  </si>
  <si>
    <t>APK production 1.0.4+8 đã cài; thiết bị Android API 24+; mạng ổn định; đã cấp quyền micro; intro audio đang phát</t>
  </si>
  <si>
    <t>1. Nhấn Back
2. Nghe loa và kiểm tra màn trước</t>
  </si>
  <si>
    <t>Back during playback</t>
  </si>
  <si>
    <t>Audio dừng; không tiếp tục tự chuyển màn sau khi đã quay lại.</t>
  </si>
  <si>
    <t>TC-074</t>
  </si>
  <si>
    <t>Audio handoff</t>
  </si>
  <si>
    <t>Không chồng câu Bắt đầu học với intro audio</t>
  </si>
  <si>
    <t>APK production 1.0.4+8 đã cài; thiết bị Android API 24+; mạng ổn định; đã cấp quyền micro; mở bài bằng trợ lý</t>
  </si>
  <si>
    <t>1. Chọn bài
2. Nghe toàn bộ chuyển tiếp</t>
  </si>
  <si>
    <t>Assistant TTS → introAudioUrl</t>
  </si>
  <si>
    <t>Intro chỉ bắt đầu sau khi Bi cô nói xong; không có hai nguồn tiếng cùng lúc.</t>
  </si>
  <si>
    <t>TC-075</t>
  </si>
  <si>
    <t>Karaoke</t>
  </si>
  <si>
    <t>Bài hát tuổi 6+ mở karaoke sau intro</t>
  </si>
  <si>
    <t>APK production 1.0.4+8 đã cài; thiết bị Android API 24+; mạng ổn định; đã cấp quyền micro; chọn bài hát ở nhóm 6+</t>
  </si>
  <si>
    <t>1. Mở bài hát
2. Chờ intro kết thúc
3. Chờ đếm ngược 3 giây</t>
  </si>
  <si>
    <t>Song lesson age 6+</t>
  </si>
  <si>
    <t>Mở karaoke; bài hát tự phát sau 3 giây; lời chạy đúng timeline.</t>
  </si>
  <si>
    <t>TC-076</t>
  </si>
  <si>
    <t>Nhóm 3–5 giữ luồng luyện câu cho bài hát</t>
  </si>
  <si>
    <t>APK production 1.0.4+8 đã cài; thiết bị Android API 24+; mạng ổn định; đã cấp quyền micro; chọn bài hát nhóm 3–5</t>
  </si>
  <si>
    <t>1. Mở bài hát
2. Chờ intro</t>
  </si>
  <si>
    <t>Song lesson age 3–5</t>
  </si>
  <si>
    <t>Không mở karaoke dành cho trẻ lớn; đi vào luồng luyện từng câu hiện có.</t>
  </si>
  <si>
    <t>TC-077</t>
  </si>
  <si>
    <t>Audio mẫu</t>
  </si>
  <si>
    <t>Tự phát câu tiếng Anh hiện tại</t>
  </si>
  <si>
    <t>1. Vào một câu mới
2. Nghe audio mẫu</t>
  </si>
  <si>
    <t>Sentence audio URL</t>
  </si>
  <si>
    <t>Audio tiếng Anh đúng câu và chỉ phát một lần trước khi mời ghi âm.</t>
  </si>
  <si>
    <t>TC-078</t>
  </si>
  <si>
    <t>Audio tiếng Việt</t>
  </si>
  <si>
    <t>Nút nghe tiếng Việt phát đúng audio</t>
  </si>
  <si>
    <t>1. Bấm Nghe tiếng Việt
2. Đối chiếu nội dung</t>
  </si>
  <si>
    <t>Vietnamese audio URL</t>
  </si>
  <si>
    <t>Phát đúng câu tiếng Việt; không đổi tiến độ hoặc mở micro ngoài ý muốn.</t>
  </si>
  <si>
    <t>TC-079</t>
  </si>
  <si>
    <t>Beep &amp; micro</t>
  </si>
  <si>
    <t>Beep phát trước khi bắt đầu ghi âm</t>
  </si>
  <si>
    <t>1. Chờ lời hướng dẫn kết thúc
2. Nghe beep
3. Quan sát micro</t>
  </si>
  <si>
    <t>Ready cue</t>
  </si>
  <si>
    <t>Beep phát đúng một lần; micro bắt đầu sau beep, không thu đuôi audio mẫu.</t>
  </si>
  <si>
    <t>TC-080</t>
  </si>
  <si>
    <t>Auto stop</t>
  </si>
  <si>
    <t>Ghi âm tự dừng tối đa 6 giây</t>
  </si>
  <si>
    <t>APK production 1.0.4+8 đã cài; thiết bị Android API 24+; mạng ổn định; đã cấp quyền micro; đang ở một câu trong bài học chủ đề; micro đã mở</t>
  </si>
  <si>
    <t>1. Nói liên tục hoặc giữ im đến hết giới hạn
2. Quan sát timer</t>
  </si>
  <si>
    <t>6 giây</t>
  </si>
  <si>
    <t>Ghi âm tự dừng; UI thoát trạng thái ghi; bắt đầu đánh giá đúng một lần.</t>
  </si>
  <si>
    <t>TC-081</t>
  </si>
  <si>
    <t>Nhận diện đúng</t>
  </si>
  <si>
    <t>Nói đúng từ Hello</t>
  </si>
  <si>
    <t>APK production 1.0.4+8 đã cài; thiết bị Android API 24+; mạng ổn định; đã cấp quyền micro; đang ở một câu trong bài học chủ đề; câu yêu cầu Hello</t>
  </si>
  <si>
    <t>1. Nói Hello rõ ràng
2. Chờ đánh giá</t>
  </si>
  <si>
    <t>Hello</t>
  </si>
  <si>
    <t>Được đánh giá đúng; phát “Con làm tốt lắm”; chuyển câu tiếp.</t>
  </si>
  <si>
    <t>TC-082</t>
  </si>
  <si>
    <t>Nói đúng I'm An dù ngữ điệu khác</t>
  </si>
  <si>
    <t>APK production 1.0.4+8 đã cài; thiết bị Android API 24+; mạng ổn định; đã cấp quyền micro; đang ở một câu trong bài học chủ đề; câu yêu cầu I'm An</t>
  </si>
  <si>
    <t>1. Nói I'm An với ngữ điệu khác mẫu
2. Chờ đánh giá</t>
  </si>
  <si>
    <t>I'm An / I am An</t>
  </si>
  <si>
    <t>So khớp nội dung chữ; không bắt buộc ngữ điệu; phát chúc mừng.</t>
  </si>
  <si>
    <t>TC-083</t>
  </si>
  <si>
    <t>Chuẩn hóa</t>
  </si>
  <si>
    <t>Không phân biệt hoa thường và dấu câu</t>
  </si>
  <si>
    <t>APK production 1.0.4+8 đã cài; thiết bị Android API 24+; mạng ổn định; đã cấp quyền micro; đang ở một câu trong bài học chủ đề; câu yêu cầu Hello!</t>
  </si>
  <si>
    <t>1. Nói hello
2. Chờ đánh giá</t>
  </si>
  <si>
    <t>hello vs Hello!</t>
  </si>
  <si>
    <t>Được coi là đúng sau chuẩn hóa; không yêu cầu nói lại.</t>
  </si>
  <si>
    <t>TC-084</t>
  </si>
  <si>
    <t>Nói sai</t>
  </si>
  <si>
    <t>Nói câu tiếng Việt không liên quan</t>
  </si>
  <si>
    <t>1. Nói Con muốn ăn cơm
2. Chờ đánh giá</t>
  </si>
  <si>
    <t>Đánh giá sai; nói “Con tập trung học đi”; không phát chúc mừng.</t>
  </si>
  <si>
    <t>TC-085</t>
  </si>
  <si>
    <t>Không rõ</t>
  </si>
  <si>
    <t>Audio im lặng hoặc không đủ dữ liệu</t>
  </si>
  <si>
    <t>APK production 1.0.4+8 đã cài; thiết bị Android API 24+; mạng ổn định; đã cấp quyền micro; đang ở một câu trong bài học chủ đề; micro đang mở</t>
  </si>
  <si>
    <t>1. Im lặng hoặc tạo audio rất ngắn
2. Chờ đánh giá</t>
  </si>
  <si>
    <t>Silence/unclear</t>
  </si>
  <si>
    <t>Phân loại Không rõ, không coi là sai; hướng dẫn thử lại; không lưu Luyện lại do câu sai.</t>
  </si>
  <si>
    <t>TC-086</t>
  </si>
  <si>
    <t>Thử lại</t>
  </si>
  <si>
    <t>Sai lần đầu tự mở micro lại</t>
  </si>
  <si>
    <t>APK production 1.0.4+8 đã cài; thiết bị Android API 24+; mạng ổn định; đã cấp quyền micro; đang ở một câu trong bài học chủ đề; lần thử 1</t>
  </si>
  <si>
    <t>1. Nói sai
2. Nghe phản hồi
3. Quan sát micro</t>
  </si>
  <si>
    <t>Wrong attempt #1</t>
  </si>
  <si>
    <t>Lưu câu vào Luyện lại; phát “Con tập trung học đi”; beep và tự mở lượt ghi mới.</t>
  </si>
  <si>
    <t>TC-087</t>
  </si>
  <si>
    <t>Sai lần thứ hai chuyển câu khác</t>
  </si>
  <si>
    <t>APK production 1.0.4+8 đã cài; thiết bị Android API 24+; mạng ổn định; đã cấp quyền micro; đang ở một câu trong bài học chủ đề; đã sai lần 1</t>
  </si>
  <si>
    <t>1. Nói sai lần 2
2. Nghe phản hồi</t>
  </si>
  <si>
    <t>Wrong attempt #2</t>
  </si>
  <si>
    <t>Nói “Mình cùng học câu khác nhé!” và chuyển sang câu tiếp theo, không lặp vô hạn.</t>
  </si>
  <si>
    <t>TC-088</t>
  </si>
  <si>
    <t>Ngôi sao</t>
  </si>
  <si>
    <t>Câu đúng được lưu vào Ngôi sao</t>
  </si>
  <si>
    <t>APK production 1.0.4+8 đã cài; thiết bị Android API 24+; mạng ổn định; đã cấp quyền micro; đang ở một câu trong bài học chủ đề; câu chưa có trong từ vựng</t>
  </si>
  <si>
    <t>1. Nói đúng
2. Mở Từ vựng → Ngôi sao</t>
  </si>
  <si>
    <t>Expected English</t>
  </si>
  <si>
    <t>Câu xuất hiện một lần trong Ngôi sao với tiếng Anh/Việt đúng.</t>
  </si>
  <si>
    <t>TC-089</t>
  </si>
  <si>
    <t>Luyện lại</t>
  </si>
  <si>
    <t>Câu sai được lưu vào Luyện lại</t>
  </si>
  <si>
    <t>1. Nói sai lần đầu
2. Mở Từ vựng → Luyện lại</t>
  </si>
  <si>
    <t>Wrong English/Vietnamese</t>
  </si>
  <si>
    <t>Câu cần học xuất hiện một lần trong Luyện lại; không lưu câu trẻ nói sai làm nội dung học.</t>
  </si>
  <si>
    <t>TC-090</t>
  </si>
  <si>
    <t>Đồng bộ bộ sưu tập</t>
  </si>
  <si>
    <t>Câu Luyện lại nói đúng ở lần sau</t>
  </si>
  <si>
    <t>APK production 1.0.4+8 đã cài; thiết bị Android API 24+; mạng ổn định; đã cấp quyền micro; đang ở một câu trong bài học chủ đề; câu đang thuộc Luyện lại</t>
  </si>
  <si>
    <t>1. Học lại câu
2. Nói đúng
3. Mở hai bộ sưu tập</t>
  </si>
  <si>
    <t>Retry then correct</t>
  </si>
  <si>
    <t>Câu được đánh dấu thành công/đưa vào Ngôi sao; không tạo bản ghi trùng.</t>
  </si>
  <si>
    <t>TC-091</t>
  </si>
  <si>
    <t>Main pause</t>
  </si>
  <si>
    <t>Nhấn giữ Main khi đang ghi âm</t>
  </si>
  <si>
    <t>APK production 1.0.4+8 đã cài; thiết bị Android API 24+; mạng ổn định; đã cấp quyền micro; đang ở một câu trong bài học chủ đề; micro đang ghi</t>
  </si>
  <si>
    <t>1. Nhấn giữ Main
2. Chờ tác vụ đánh giá cũ nếu có</t>
  </si>
  <si>
    <t>Pause during recording</t>
  </si>
  <si>
    <t>Bản ghi dở bị hủy; đánh giá cũ không cập nhật UI; trạng thái dừng ổn định.</t>
  </si>
  <si>
    <t>TC-092</t>
  </si>
  <si>
    <t>Main resume</t>
  </si>
  <si>
    <t>Tiếp tục sau pause và nói đúng</t>
  </si>
  <si>
    <t>APK production 1.0.4+8 đã cài; thiết bị Android API 24+; mạng ổn định; đã cấp quyền micro; đang ở một câu trong bài học chủ đề; đã dừng bằng Main</t>
  </si>
  <si>
    <t>1. Nhấn giữ Main lần 2
2. Nói đúng khi micro tự mở</t>
  </si>
  <si>
    <t>Resume + correct</t>
  </si>
  <si>
    <t>Tạo lượt ghi mới; câu đúng được chúc mừng, không bị kết quả cũ ghi đè.</t>
  </si>
  <si>
    <t>TC-093</t>
  </si>
  <si>
    <t>Race condition</t>
  </si>
  <si>
    <t>Kết quả backend cũ về sau khi pause</t>
  </si>
  <si>
    <t>APK production 1.0.4+8 đã cài; thiết bị Android API 24+; mạng ổn định; đã cấp quyền micro; đang ở một câu trong bài học chủ đề; có thể trì hoãn API đánh giá</t>
  </si>
  <si>
    <t>1. Gửi lượt ghi
2. Pause trước khi response về
3. Cho response cũ trả về</t>
  </si>
  <si>
    <t>Delayed evaluation</t>
  </si>
  <si>
    <t>Response cũ bị bỏ qua; không phát chúc mừng/nhắc sai sau khi đã pause.</t>
  </si>
  <si>
    <t>TC-094</t>
  </si>
  <si>
    <t>Main một chạm</t>
  </si>
  <si>
    <t>Một chạm Main hỏi có học nữa không</t>
  </si>
  <si>
    <t>1. Chạm Main một lần
2. Nghe phản hồi và beep</t>
  </si>
  <si>
    <t>Dừng luồng hiện tại an toàn; Bi cô hỏi “Con có muốn học nữa không?” rồi nghe Có/Không.</t>
  </si>
  <si>
    <t>TC-095</t>
  </si>
  <si>
    <t>Xác nhận</t>
  </si>
  <si>
    <t>Trả lời Có để tiếp tục học</t>
  </si>
  <si>
    <t>APK production 1.0.4+8 đã cài; thiết bị Android API 24+; mạng ổn định; đã cấp quyền micro; đang ở một câu trong bài học chủ đề; Bi cô đang hỏi có học nữa không</t>
  </si>
  <si>
    <t>1. Nói Có hoặc Dạ có</t>
  </si>
  <si>
    <t>Có; Dạ có</t>
  </si>
  <si>
    <t>Bi cô nói “Tiếp tục học nhé con”; tự mở lượt ghi mới.</t>
  </si>
  <si>
    <t>TC-096</t>
  </si>
  <si>
    <t>Trả lời Không để thoát</t>
  </si>
  <si>
    <t>1. Nói Không hoặc Dạ không</t>
  </si>
  <si>
    <t>Không; Dạ không</t>
  </si>
  <si>
    <t>Bi cô nói “Tạm biệt con”; dừng audio/micro và quay về trang chủ.</t>
  </si>
  <si>
    <t>TC-097</t>
  </si>
  <si>
    <t>Bản ghi</t>
  </si>
  <si>
    <t>Phát lại bản ghi của trẻ</t>
  </si>
  <si>
    <t>APK production 1.0.4+8 đã cài; thiết bị Android API 24+; mạng ổn định; đã cấp quyền micro; đang ở một câu trong bài học chủ đề; đã có bản ghi hoàn chỉnh</t>
  </si>
  <si>
    <t>1. Bấm phát bản ghi
2. Nghe hết audio</t>
  </si>
  <si>
    <t>Recorded child audio</t>
  </si>
  <si>
    <t>Phát đúng bản ghi hiện tại; thời lượng hiển thị hợp lý; không kích hoạt đánh giá lại.</t>
  </si>
  <si>
    <t>TC-098</t>
  </si>
  <si>
    <t>API response</t>
  </si>
  <si>
    <t>Backend trả HTML/JSON lỗi</t>
  </si>
  <si>
    <t>APK production 1.0.4+8 đã cài; thiết bị Android API 24+; mạng ổn định; đã cấp quyền micro; đang ở một câu trong bài học chủ đề; mock lỗi server</t>
  </si>
  <si>
    <t>1. Gửi bản ghi
2. Trả payload lỗi</t>
  </si>
  <si>
    <t>Invalid JSON/HTML</t>
  </si>
  <si>
    <t>Không hiện FormatException; hiển thị thông báo phù hợp trẻ em và cho thử lại.</t>
  </si>
  <si>
    <t>TC-099</t>
  </si>
  <si>
    <t>API route</t>
  </si>
  <si>
    <t>Route đánh giá chính trả 404</t>
  </si>
  <si>
    <t>APK production 1.0.4+8 đã cài; thiết bị Android API 24+; mạng ổn định; đã cấp quyền micro; đang ở một câu trong bài học chủ đề; mock route chính 404</t>
  </si>
  <si>
    <t>1. Gửi bản ghi
2. Quan sát fallback</t>
  </si>
  <si>
    <t>404 evaluate-attempt</t>
  </si>
  <si>
    <t>Ứng dụng dùng fallback hợp lệ nếu được cấu hình; không crash và không kết luận sai do lỗi route.</t>
  </si>
  <si>
    <t>TC-100</t>
  </si>
  <si>
    <t>Kết nối</t>
  </si>
  <si>
    <t>Backend connection refused</t>
  </si>
  <si>
    <t>APK production 1.0.4+8 đã cài; thiết bị Android API 24+; mạng ổn định; đã cấp quyền micro; đang ở một câu trong bài học chủ đề; backend không khả dụng</t>
  </si>
  <si>
    <t>1. Gửi bản ghi
2. Chờ timeout</t>
  </si>
  <si>
    <t>SocketException</t>
  </si>
  <si>
    <t>Không hiện địa chỉ 127.0.0.1/stack trace; báo chưa kiểm tra được và cho thử lại.</t>
  </si>
  <si>
    <t>TC-101</t>
  </si>
  <si>
    <t>Lưu vị trí câu hiện tại khi thoát</t>
  </si>
  <si>
    <t>APK production 1.0.4+8 đã cài; thiết bị Android API 24+; mạng ổn định; đã cấp quyền micro; đang ở một câu trong bài học chủ đề; đang ở câu 2 trở lên</t>
  </si>
  <si>
    <t>1. Thoát bài
2. Mở lại bài</t>
  </si>
  <si>
    <t>Current sentence index</t>
  </si>
  <si>
    <t>Tiếp tục đúng câu đã lưu; số câu hoàn thành không bị giảm.</t>
  </si>
  <si>
    <t>TC-102</t>
  </si>
  <si>
    <t>Điều hướng câu</t>
  </si>
  <si>
    <t>Quay lại câu trước và mở lại ứng dụng</t>
  </si>
  <si>
    <t>APK production 1.0.4+8 đã cài; thiết bị Android API 24+; mạng ổn định; đã cấp quyền micro; đang ở một câu trong bài học chủ đề; có ít nhất 2 câu</t>
  </si>
  <si>
    <t>1. Quay lại câu trước
2. Thoát và vào lại</t>
  </si>
  <si>
    <t>Previous sentence</t>
  </si>
  <si>
    <t>Vị trí resume theo câu vừa chọn; tổng tiến độ hoàn thành vẫn bảo toàn.</t>
  </si>
  <si>
    <t>TC-103</t>
  </si>
  <si>
    <t>Lựa chọn cuối bài</t>
  </si>
  <si>
    <t>Hiển thị lựa chọn Học lại/Bài tiếp theo</t>
  </si>
  <si>
    <t>APK production 1.0.4+8 đã cài; thiết bị Android API 24+; mạng ổn định; đã cấp quyền micro; hoàn thành câu cuối</t>
  </si>
  <si>
    <t>1. Hoàn thành câu cuối
2. Nghe prompt
3. Quan sát lựa chọn</t>
  </si>
  <si>
    <t>End of lesson</t>
  </si>
  <si>
    <t>Phát prompt hoàn thành và mở micro/nút lựa chọn đúng; không tự chọn.</t>
  </si>
  <si>
    <t>TC-104</t>
  </si>
  <si>
    <t>Học lại</t>
  </si>
  <si>
    <t>Nói Học lại</t>
  </si>
  <si>
    <t>APK production 1.0.4+8 đã cài; thiết bị Android API 24+; mạng ổn định; đã cấp quyền micro; đang chờ lựa chọn cuối bài</t>
  </si>
  <si>
    <t>1. Nói Học lại
2. Quan sát bài</t>
  </si>
  <si>
    <t>Học lại; Làm lại</t>
  </si>
  <si>
    <t>Bắt đầu lại từ câu 1; không nhân đôi tiến độ hoặc từ vựng.</t>
  </si>
  <si>
    <t>TC-105</t>
  </si>
  <si>
    <t>Bài tiếp theo</t>
  </si>
  <si>
    <t>Nói Bài tiếp theo khi còn bài</t>
  </si>
  <si>
    <t>APK production 1.0.4+8 đã cài; thiết bị Android API 24+; mạng ổn định; đã cấp quyền micro; chủ đề còn bài kế tiếp</t>
  </si>
  <si>
    <t>1. Nói Bài tiếp theo</t>
  </si>
  <si>
    <t>Mở lời mở đầu bài kế tiếp, sau đó phát introAudioUrl của bài đó.</t>
  </si>
  <si>
    <t>TC-106</t>
  </si>
  <si>
    <t>Lựa chọn cuối bài không rõ</t>
  </si>
  <si>
    <t>APK production 1.0.4+8 đã cài; thiết bị Android API 24+; mạng ổn định; đã cấp quyền micro; đang chờ lựa chọn</t>
  </si>
  <si>
    <t>1. Nói câu không liên quan</t>
  </si>
  <si>
    <t>Con thích màu xanh</t>
  </si>
  <si>
    <t>Bi cô nói “Nói lại lựa chọn của con nhé”; tiếp tục nghe; không tự chuyển bài.</t>
  </si>
  <si>
    <t>TC-107</t>
  </si>
  <si>
    <t>Hoàn thành chủ đề</t>
  </si>
  <si>
    <t>Bài cuối thông báo hoàn thành</t>
  </si>
  <si>
    <t>APK production 1.0.4+8 đã cài; thiết bị Android API 24+; mạng ổn định; đã cấp quyền micro; đang ở bài cuối chủ đề</t>
  </si>
  <si>
    <t>1. Chọn Bài tiếp theo sau khi hoàn thành
2. Nghe phản hồi</t>
  </si>
  <si>
    <t>Final lesson</t>
  </si>
  <si>
    <t>Thông báo hoàn thành chủ đề; quay về danh sách chủ đề.</t>
  </si>
  <si>
    <t>TC-108</t>
  </si>
  <si>
    <t>Chọn lại chủ đề</t>
  </si>
  <si>
    <t>Bi cô đọc tổng số N chủ đề</t>
  </si>
  <si>
    <t>APK production 1.0.4+8 đã cài; thiết bị Android API 24+; mạng ổn định; đã cấp quyền micro; vừa hoàn thành chủ đề</t>
  </si>
  <si>
    <t>1. Chờ về danh sách
2. Nghe prompt</t>
  </si>
  <si>
    <t>N topics</t>
  </si>
  <si>
    <t>Bi cô nói “Có N chủ đề. Con muốn học chủ đề số mấy”; N khớp danh sách.</t>
  </si>
  <si>
    <t>TC-109</t>
  </si>
  <si>
    <t>Nghe chọn chủ đề sau beep</t>
  </si>
  <si>
    <t>APK production 1.0.4+8 đã cài; thiết bị Android API 24+; mạng ổn định; đã cấp quyền micro; vừa có prompt N chủ đề</t>
  </si>
  <si>
    <t>1. Chờ prompt kết thúc
2. Xác nhận beep
3. Nói lựa chọn</t>
  </si>
  <si>
    <t>Chủ đề số 2</t>
  </si>
  <si>
    <t>Chỉ bắt đầu nhận lựa chọn sau beep; không mất câu đầu của trẻ.</t>
  </si>
  <si>
    <t>TC-110</t>
  </si>
  <si>
    <t>Chủ đề đã học</t>
  </si>
  <si>
    <t>Chọn chủ đề hoàn thành</t>
  </si>
  <si>
    <t>APK production 1.0.4+8 đã cài; thiết bị Android API 24+; mạng ổn định; đã cấp quyền micro; ít nhất một chủ đề đã hoàn thành</t>
  </si>
  <si>
    <t>1. Nói số chủ đề đã học</t>
  </si>
  <si>
    <t>Completed topic N</t>
  </si>
  <si>
    <t>Bi cô hỏi “Chủ đề số N con đã học rồi. Con có muốn học lại không?”</t>
  </si>
  <si>
    <t>TC-111</t>
  </si>
  <si>
    <t>Học lại chủ đề</t>
  </si>
  <si>
    <t>Trả lời Có</t>
  </si>
  <si>
    <t>APK production 1.0.4+8 đã cài; thiết bị Android API 24+; mạng ổn định; đã cấp quyền micro; đang xác nhận học lại</t>
  </si>
  <si>
    <t>1. Nói Có/Dạ có/Con muốn học lại</t>
  </si>
  <si>
    <t>Có; Dạ có; Con muốn học lại</t>
  </si>
  <si>
    <t>Mở đúng chủ đề cũ; Bi cô hỏi số bài học và mở bài được chọn.</t>
  </si>
  <si>
    <t>TC-112</t>
  </si>
  <si>
    <t>Không học lại</t>
  </si>
  <si>
    <t>Trả lời Không</t>
  </si>
  <si>
    <t>1. Nói Không/Dạ không</t>
  </si>
  <si>
    <t>Không mở chủ đề; Bi cô lặp câu “Có N chủ đề. Con muốn học chủ đề số mấy”.</t>
  </si>
  <si>
    <t>TC-113</t>
  </si>
  <si>
    <t>Chủ đề chưa học</t>
  </si>
  <si>
    <t>Chọn chủ đề chưa hoàn thành</t>
  </si>
  <si>
    <t>APK production 1.0.4+8 đã cài; thiết bị Android API 24+; mạng ổn định; đã cấp quyền micro; có chủ đề chưa học</t>
  </si>
  <si>
    <t>1. Nói số chủ đề chưa học</t>
  </si>
  <si>
    <t>Unfinished topic</t>
  </si>
  <si>
    <t>Mở trực tiếp chủ đề và hỏi số bài; không hỏi xác nhận học lại.</t>
  </si>
  <si>
    <t>TC-114</t>
  </si>
  <si>
    <t>Replay completion</t>
  </si>
  <si>
    <t>Hoàn thành lại một chủ đề đã học</t>
  </si>
  <si>
    <t>APK production 1.0.4+8 đã cài; thiết bị Android API 24+; mạng ổn định; đã cấp quyền micro; đang học lại chủ đề hoàn thành</t>
  </si>
  <si>
    <t>1. Học tới bài cuối
2. Chọn Bài tiếp theo</t>
  </si>
  <si>
    <t>Replay completed topic</t>
  </si>
  <si>
    <t>Vẫn kích hoạt luồng chọn N chủ đề; không bị bỏ qua vì tiến độ đã hoàn thành trước đó.</t>
  </si>
  <si>
    <t>TC-115</t>
  </si>
  <si>
    <t>Giá trị không hợp lệ</t>
  </si>
  <si>
    <t>Chọn số chủ đề ngoài phạm vi sau hoàn thành</t>
  </si>
  <si>
    <t>Bi cô nêu phạm vi hợp lệ và tiếp tục nghe; không thoát luồng.</t>
  </si>
  <si>
    <t>TC-116</t>
  </si>
  <si>
    <t>TTS handoff</t>
  </si>
  <si>
    <t>Prompt N chủ đề không bị màn bài cũ dừng</t>
  </si>
  <si>
    <t>APK production 1.0.4+8 đã cài; thiết bị Android API 24+; mạng ổn định; đã cấp quyền micro; hoàn thành bài cuối</t>
  </si>
  <si>
    <t>1. Chọn Bài tiếp theo
2. Theo dõi toàn bộ lúc pop route</t>
  </si>
  <si>
    <t>Route transition</t>
  </si>
  <si>
    <t>Câu hỏi N chủ đề phát đầy đủ; trạng thái “Bi cô đang nói” kết thúc; beep và micro hoạt động.</t>
  </si>
  <si>
    <t>TC-117</t>
  </si>
  <si>
    <t>Điều hướng</t>
  </si>
  <si>
    <t>Mở Từ vựng bằng Main</t>
  </si>
  <si>
    <t>1. Nhấn Main
2. Nói Học từ vựng</t>
  </si>
  <si>
    <t>Học từ vựng</t>
  </si>
  <si>
    <t>Mở trang Từ vựng; hiển thị các hành trình Gia đình/Ngôi sao/Luyện lại theo thiết kế hiện tại.</t>
  </si>
  <si>
    <t>TC-118</t>
  </si>
  <si>
    <t>Thêm mới</t>
  </si>
  <si>
    <t>Thêm một từ/câu thủ công</t>
  </si>
  <si>
    <t>APK production 1.0.4+8 đã cài; thiết bị Android API 24+; mạng ổn định; đã cấp quyền micro; ở trang Từ vựng</t>
  </si>
  <si>
    <t>1. Bấm dấu +
2. Nhập tiếng Anh và tiếng Việt
3. Lưu</t>
  </si>
  <si>
    <t>Family / Gia đình</t>
  </si>
  <si>
    <t>Lưu thành công; xuất hiện trong danh sách; dữ liệu giữ đúng dấu tiếng Việt.</t>
  </si>
  <si>
    <t>TC-119</t>
  </si>
  <si>
    <t>Tìm kiếm</t>
  </si>
  <si>
    <t>Tìm từ không phân biệt hoa thường</t>
  </si>
  <si>
    <t>APK production 1.0.4+8 đã cài; thiết bị Android API 24+; mạng ổn định; đã cấp quyền micro; có từ Family</t>
  </si>
  <si>
    <t>1. Bấm tìm kiếm
2. Nhập family</t>
  </si>
  <si>
    <t>family</t>
  </si>
  <si>
    <t>Trả đúng mục Family; không hiện mục không liên quan.</t>
  </si>
  <si>
    <t>TC-120</t>
  </si>
  <si>
    <t>Audio</t>
  </si>
  <si>
    <t>Nghe phát âm từ/câu</t>
  </si>
  <si>
    <t>APK production 1.0.4+8 đã cài; thiết bị Android API 24+; mạng ổn định; đã cấp quyền micro; có mục từ vựng</t>
  </si>
  <si>
    <t>1. Bấm biểu tượng loa</t>
  </si>
  <si>
    <t>Saved vocabulary</t>
  </si>
  <si>
    <t>Phát đúng tiếng Anh; không mở micro hoặc thay đổi bộ sưu tập.</t>
  </si>
  <si>
    <t>TC-121</t>
  </si>
  <si>
    <t>Hiển thị câu học đúng</t>
  </si>
  <si>
    <t>APK production 1.0.4+8 đã cài; thiết bị Android API 24+; mạng ổn định; đã cấp quyền micro; đã nói đúng ít nhất một câu trong bài</t>
  </si>
  <si>
    <t>1. Mở Ngôi sao
2. Đối chiếu bài học</t>
  </si>
  <si>
    <t>Star entry</t>
  </si>
  <si>
    <t>Câu đúng xuất hiện, không trùng, có bản dịch và audio phù hợp.</t>
  </si>
  <si>
    <t>TC-122</t>
  </si>
  <si>
    <t>Hiển thị câu nói sai</t>
  </si>
  <si>
    <t>APK production 1.0.4+8 đã cài; thiết bị Android API 24+; mạng ổn định; đã cấp quyền micro; đã nói sai ít nhất một câu</t>
  </si>
  <si>
    <t>1. Mở Luyện lại
2. Đối chiếu câu học</t>
  </si>
  <si>
    <t>Review entry</t>
  </si>
  <si>
    <t>Hiển thị câu mục tiêu cần luyện, không lưu nguyên câu sai của trẻ.</t>
  </si>
  <si>
    <t>TC-123</t>
  </si>
  <si>
    <t>Số đếm cập nhật ngay sau khi bài học lưu câu</t>
  </si>
  <si>
    <t>APK production 1.0.4+8 đã cài; thiết bị Android API 24+; mạng ổn định; đã cấp quyền micro; trang từ vựng đã từng mở</t>
  </si>
  <si>
    <t>1. Quay lại bài và nói đúng/sai
2. Trở lại Từ vựng</t>
  </si>
  <si>
    <t>New star/review</t>
  </si>
  <si>
    <t>Số lượng trên thẻ cập nhật không cần khởi động lại ứng dụng.</t>
  </si>
  <si>
    <t>TC-124</t>
  </si>
  <si>
    <t>Lưu trữ</t>
  </si>
  <si>
    <t>Dữ liệu tồn tại sau khởi động lại</t>
  </si>
  <si>
    <t>APK production 1.0.4+8 đã cài; thiết bị Android API 24+; mạng ổn định; đã cấp quyền micro; có mục đã lưu</t>
  </si>
  <si>
    <t>1. Đóng hoàn toàn ứng dụng
2. Mở lại
3. Mở Từ vựng</t>
  </si>
  <si>
    <t>Persisted data</t>
  </si>
  <si>
    <t>Các mục Gia đình/Ngôi sao/Luyện lại và số lượng vẫn chính xác.</t>
  </si>
  <si>
    <t>TC-125</t>
  </si>
  <si>
    <t>Giao diện chẩn đoán</t>
  </si>
  <si>
    <t>Mở kiểm tra phản ứng H20 offline</t>
  </si>
  <si>
    <t>APK production 1.0.4+8 đã cài; thiết bị Android API 24+; phần cứng H20 có thể kết nối</t>
  </si>
  <si>
    <t>1. Mở khu vực kiểm tra H20
2. Quan sát trạng thái BLE/HFP/SCO/MAIN</t>
  </si>
  <si>
    <t>H20 diagnostics</t>
  </si>
  <si>
    <t>Các trạng thái hiển thị riêng biệt, dễ hiểu; chưa kết nối không bị báo thành đã kết nối.</t>
  </si>
  <si>
    <t>TC-126</t>
  </si>
  <si>
    <t>Loa offline</t>
  </si>
  <si>
    <t>Test loa không gọi cloud</t>
  </si>
  <si>
    <t>APK production 1.0.4+8 đã cài; thiết bị Android API 24+; có hoặc không có mạng</t>
  </si>
  <si>
    <t>1. Bấm Test loa offline
2. Theo dõi network và âm thanh</t>
  </si>
  <si>
    <t>Bundled audio asset</t>
  </si>
  <si>
    <t>Phát audio đóng gói trong APK; không gửi request backend.</t>
  </si>
  <si>
    <t>TC-127</t>
  </si>
  <si>
    <t>Micro offline</t>
  </si>
  <si>
    <t>Ghi thử tối đa 5 giây</t>
  </si>
  <si>
    <t>APK production 1.0.4+8 đã cài; thiết bị Android API 24+; H20 đã sẵn sàng; quyền micro đã cấp</t>
  </si>
  <si>
    <t>1. Bấm Thu thử
2. Nói
3. Chờ 5 giây</t>
  </si>
  <si>
    <t>5-second capture</t>
  </si>
  <si>
    <t>Ghi dừng đúng giới hạn; UI không treo; có phản hồi kiểm tra cục bộ.</t>
  </si>
  <si>
    <t>TC-128</t>
  </si>
  <si>
    <t>BLE</t>
  </si>
  <si>
    <t>Cập nhật trạng thái BLE</t>
  </si>
  <si>
    <t>APK production 1.0.4+8 đã cài; thiết bị Android API 24+; bật/tắt thiết bị H20</t>
  </si>
  <si>
    <t>1. Bật BLE và kết nối
2. Ngắt kết nối</t>
  </si>
  <si>
    <t>BLE connected/disconnected</t>
  </si>
  <si>
    <t>Trạng thái BLE thay đổi đúng và không làm sai HFP/SCO.</t>
  </si>
  <si>
    <t>TC-129</t>
  </si>
  <si>
    <t>HFP/SCO</t>
  </si>
  <si>
    <t>Phân biệt HFP và SCO</t>
  </si>
  <si>
    <t>APK production 1.0.4+8 đã cài; thiết bị Android API 24+; thiết bị hỗ trợ HFP/SCO</t>
  </si>
  <si>
    <t>1. Kết nối HFP
2. Bắt đầu luồng audio SCO
3. Kết thúc SCO</t>
  </si>
  <si>
    <t>HFP/SCO states</t>
  </si>
  <si>
    <t>HFP và SCO được báo độc lập; không báo SCO hoạt động khi chưa có audio route.</t>
  </si>
  <si>
    <t>TC-130</t>
  </si>
  <si>
    <t>MAIN packet</t>
  </si>
  <si>
    <t>MAIN chưa xác nhận chỉ hiển thị Raw Hex</t>
  </si>
  <si>
    <t>APK production 1.0.4+8 đã cài; thiết bị Android API 24+; ODM chưa xác nhận packet MAIN</t>
  </si>
  <si>
    <t>1. Gửi packet thử
2. Quan sát hành vi</t>
  </si>
  <si>
    <t>Unconfirmed MAIN packet</t>
  </si>
  <si>
    <t>Chỉ hiển thị Raw Hex; không bắt đầu ghi âm hoặc kích hoạt lệnh ngoài ý muốn.</t>
  </si>
  <si>
    <t>TC-131</t>
  </si>
  <si>
    <t>Toàn bộ kiểm tra H20 không gửi âm thanh lên cloud</t>
  </si>
  <si>
    <t>APK production 1.0.4+8 đã cài; thiết bị Android API 24+; bật công cụ theo dõi network</t>
  </si>
  <si>
    <t>1. Chạy test loa và micro
2. Kiểm tra request</t>
  </si>
  <si>
    <t>Offline diagnostics</t>
  </si>
  <si>
    <t>Không upload audio và không gọi backend trong chế độ kiểm tra offline.</t>
  </si>
  <si>
    <t>Security</t>
  </si>
  <si>
    <t>TC-132</t>
  </si>
  <si>
    <t>Responsive</t>
  </si>
  <si>
    <t>Màn bài học trên điện thoại nhỏ</t>
  </si>
  <si>
    <t>APK production 1.0.4+8 đã cài; thiết bị Android API 24+; thiết bị/giả lập 320×568</t>
  </si>
  <si>
    <t>1. Mở intro, luyện câu và cuối bài
2. Kiểm tra cuộn/nút</t>
  </si>
  <si>
    <t>320×568</t>
  </si>
  <si>
    <t>Không overflow; Main, Bỏ qua và nút ghi âm vẫn thao tác được.</t>
  </si>
  <si>
    <t>TC-133</t>
  </si>
  <si>
    <t>Accessibility</t>
  </si>
  <si>
    <t>Cỡ chữ lớn</t>
  </si>
  <si>
    <t>APK production 1.0.4+8 đã cài; thiết bị Android API 24+; font scale 1.3–1.5</t>
  </si>
  <si>
    <t>1. Mở các màn chính
2. Kiểm tra text và nút</t>
  </si>
  <si>
    <t>Large text scale</t>
  </si>
  <si>
    <t>Không mất nội dung quan trọng; nút không chồng; có thể cuộn khi cần.</t>
  </si>
  <si>
    <t>TC-134</t>
  </si>
  <si>
    <t>Dark mode</t>
  </si>
  <si>
    <t>Độ tương phản ở giao diện tối</t>
  </si>
  <si>
    <t>APK production 1.0.4+8 đã cài; thiết bị Android API 24+; bật Dark mode</t>
  </si>
  <si>
    <t>1. Mở Chủ đề, Intro, Luyện bài, Từ vựng
2. Kiểm tra chữ và trạng thái</t>
  </si>
  <si>
    <t>Dark theme</t>
  </si>
  <si>
    <t>Chữ, icon, progress và thông báo lỗi dễ đọc; không có chữ tối trên nền tối.</t>
  </si>
  <si>
    <t>TC-135</t>
  </si>
  <si>
    <t>Stress</t>
  </si>
  <si>
    <t>Lặp 20 chu kỳ Main–nghe–thoát</t>
  </si>
  <si>
    <t>APK production 1.0.4+8 đã cài; thiết bị Android API 24+; mạng ổn định; đã cấp quyền micro; thiết bị có theo dõi tài nguyên</t>
  </si>
  <si>
    <t>1. Lặp 20 lần mở Main
2. Thực hiện hoặc hủy lệnh
3. Theo dõi micro/TTS</t>
  </si>
  <si>
    <t>20 cycles</t>
  </si>
  <si>
    <t>Không tăng dần độ trễ, không còn session ma, không crash hoặc rò audio focus.</t>
  </si>
  <si>
    <t>Performance</t>
  </si>
  <si>
    <t>TC-136</t>
  </si>
  <si>
    <t>Mạng yếu</t>
  </si>
  <si>
    <t>Độ ổn định trên mạng chậm và mất gói</t>
  </si>
  <si>
    <t>APK production 1.0.4+8 đã cài; thiết bị Android API 24+; mô phỏng 3G chậm/packet loss</t>
  </si>
  <si>
    <t>1. Thực hiện Luyện nói và đánh giá bài
2. Quan sát timeout/retry</t>
  </si>
  <si>
    <t>High latency + packet loss</t>
  </si>
  <si>
    <t>Có trạng thái chờ hợp lý; timeout hữu hạn; không gửi trùng và có thể thử lại.</t>
  </si>
  <si>
    <t>TC-137</t>
  </si>
  <si>
    <t>Đưa app nền khi đang ghi âm</t>
  </si>
  <si>
    <t>APK production 1.0.4+8 đã cài; thiết bị Android API 24+; mạng ổn định; đã cấp quyền micro; micro đang ghi</t>
  </si>
  <si>
    <t>1. Bấm Home hệ thống
2. Chờ
3. Quay lại app</t>
  </si>
  <si>
    <t>Background during capture</t>
  </si>
  <si>
    <t>Ghi âm được dừng/hủy an toàn theo chính sách; không tự upload audio ngoài ý muốn.</t>
  </si>
  <si>
    <t>TC-138</t>
  </si>
  <si>
    <t>Cuộc gọi/ứng dụng khác giành audio focus</t>
  </si>
  <si>
    <t>APK production 1.0.4+8 đã cài; thiết bị Android API 24+; mạng ổn định; đã cấp quyền micro; đang phát intro hoặc ghi âm</t>
  </si>
  <si>
    <t>1. Mô phỏng audio focus loss
2. Khôi phục focus</t>
  </si>
  <si>
    <t>Transient audio interruption</t>
  </si>
  <si>
    <t>Audio/micro tạm dừng an toàn; không chồng tiếng; người dùng có thể tiếp tục rõ ràng.</t>
  </si>
  <si>
    <t>TC-139</t>
  </si>
  <si>
    <t>Soak</t>
  </si>
  <si>
    <t>Sử dụng liên tục 30 phút</t>
  </si>
  <si>
    <t>APK production 1.0.4+8 đã cài; thiết bị Android API 24+; mạng ổn định; đã cấp quyền micro; thiết bị thật</t>
  </si>
  <si>
    <t>1. Luân phiên Luyện nói, Chủ đề và Từ vựng 30 phút
2. Theo dõi RAM, pin, nhiệt</t>
  </si>
  <si>
    <t>30-minute session</t>
  </si>
  <si>
    <t>Không crash/ANR; RAM không tăng bất thường; micro và TTS vẫn hoạt động.</t>
  </si>
  <si>
    <t>TC-140</t>
  </si>
  <si>
    <t>Bảo mật</t>
  </si>
  <si>
    <t>Không lộ dữ liệu kỹ thuật nhạy cảm trên UI/log release</t>
  </si>
  <si>
    <t>APK production 1.0.4+8 đã cài; thiết bị Android API 24+; tạo lỗi backend</t>
  </si>
  <si>
    <t>1. Gây lỗi mạng/API
2. Kiểm tra UI và logcat</t>
  </si>
  <si>
    <t>Errors with request IDs</t>
  </si>
  <si>
    <t>Không hiện token, stack trace, đường dẫn nội bộ hay audio base64; mã hỗ trợ có thể hiển thị.</t>
  </si>
  <si>
    <t>TC-141</t>
  </si>
  <si>
    <t>Ngôn ngữ</t>
  </si>
  <si>
    <t>Toàn bộ prompt trẻ em dùng tiếng Việt tự nhiên</t>
  </si>
  <si>
    <t>APK production 1.0.4+8 đã cài; thiết bị Android API 24+; mạng ổn định; đã cấp quyền micro; ngôn ngữ Việt</t>
  </si>
  <si>
    <t>1. Đi hết các nhánh Main, bài học và lỗi
2. Ghi nhận prompt</t>
  </si>
  <si>
    <t>Vietnamese locale</t>
  </si>
  <si>
    <t>Không trộn tiếng Trung/chuỗi debug; câu ngắn, phù hợp trẻ em và thống nhất “Bi cô”.</t>
  </si>
  <si>
    <t>TC-142</t>
  </si>
  <si>
    <t>Boundary tuổi</t>
  </si>
  <si>
    <t>Kiểm tra các tuổi biên</t>
  </si>
  <si>
    <t>APK production 1.0.4+8 đã cài; thiết bị Android API 24+; mạng ổn định; đã cấp quyền micro; có thể đổi tuổi cấu hình</t>
  </si>
  <si>
    <t>1. Kiểm tra tuổi 3,5,6,7,8,10,11,12,13,15
2. Mở Chủ đề</t>
  </si>
  <si>
    <t>Boundary ages</t>
  </si>
  <si>
    <t>Mỗi tuổi vào đúng nhóm; không bỏ sót hoặc chồng khoảng tuổi.</t>
  </si>
  <si>
    <t>TC-143</t>
  </si>
  <si>
    <t>Cấu hình production</t>
  </si>
  <si>
    <t>APK production không gọi localhost</t>
  </si>
  <si>
    <t>APK production 1.0.4+8 đã cài; thiết bị Android API 24+; theo dõi network</t>
  </si>
  <si>
    <t>1. Chạy Luyện nói, dịch và đánh giá bài
2. Kiểm tra host request</t>
  </si>
  <si>
    <t>Production build</t>
  </si>
  <si>
    <t>Mọi API gọi backend production Railway; không có request tới 127.0.0.1/localhost.</t>
  </si>
  <si>
    <t>TC-144</t>
  </si>
  <si>
    <t>Release</t>
  </si>
  <si>
    <t>Xác minh version và chữ ký APK</t>
  </si>
  <si>
    <t>Có file APK bàn giao</t>
  </si>
  <si>
    <t>1. Dùng aapt/apksigner kiểm tra
2. Đối chiếu ghi chú phát hành</t>
  </si>
  <si>
    <t>versionName 1.0.4, versionCode 8; chữ ký v2 hợp lệ; ghi rõ debug certificate chưa dùng cho Play Store.</t>
  </si>
  <si>
    <t>TEST DATA — GIỌNG NÓI, THIẾT BỊ VÀ MẠNG</t>
  </si>
  <si>
    <t>Dùng dữ liệu này để chạy lại các ca nhận diện theo nhiều cách nói, giọng trẻ em và điều kiện môi trường.</t>
  </si>
  <si>
    <t>Data ID</t>
  </si>
  <si>
    <t>Nhóm</t>
  </si>
  <si>
    <t>Input / Điều kiện</t>
  </si>
  <si>
    <t>Biến thể</t>
  </si>
  <si>
    <t>Kết quả mong đợi</t>
  </si>
  <si>
    <t>Ghi chú</t>
  </si>
  <si>
    <t>VD-001</t>
  </si>
  <si>
    <t>Hey Piko; Pico ơi</t>
  </si>
  <si>
    <t>Kích hoạt trợ lý</t>
  </si>
  <si>
    <t>Đọc bằng giọng trẻ em nam/nữ</t>
  </si>
  <si>
    <t>VD-002</t>
  </si>
  <si>
    <t>Menu</t>
  </si>
  <si>
    <t>Luyện nói; Nói chuyện</t>
  </si>
  <si>
    <t>Mở Luyện nói</t>
  </si>
  <si>
    <t>VD-003</t>
  </si>
  <si>
    <t>Học chủ đề; Chủ đề</t>
  </si>
  <si>
    <t>Bắt đầu hỏi tuổi</t>
  </si>
  <si>
    <t>VD-004</t>
  </si>
  <si>
    <t>Học từ mới; Từ mới</t>
  </si>
  <si>
    <t>Mở Từ vựng</t>
  </si>
  <si>
    <t>VD-005</t>
  </si>
  <si>
    <t>Dịch; Dịch tiếng Anh</t>
  </si>
  <si>
    <t>Mở menu dịch</t>
  </si>
  <si>
    <t>VD-006</t>
  </si>
  <si>
    <t>Tuổi</t>
  </si>
  <si>
    <t>Con 4 tuổi</t>
  </si>
  <si>
    <t>Bốn tuổi</t>
  </si>
  <si>
    <t>Nhóm 3–5</t>
  </si>
  <si>
    <t>VD-007</t>
  </si>
  <si>
    <t>Con 6 tuổi</t>
  </si>
  <si>
    <t>Sáu tuổi</t>
  </si>
  <si>
    <t>Nhóm 6–7</t>
  </si>
  <si>
    <t>VD-008</t>
  </si>
  <si>
    <t>Con 10 tuổi</t>
  </si>
  <si>
    <t>Mười tuổi</t>
  </si>
  <si>
    <t>Nhóm 8–10</t>
  </si>
  <si>
    <t>Tuổi biên</t>
  </si>
  <si>
    <t>VD-009</t>
  </si>
  <si>
    <t>Chủ đề</t>
  </si>
  <si>
    <t>Con chọn chủ đề ba</t>
  </si>
  <si>
    <t>Chọn topic 3</t>
  </si>
  <si>
    <t>VD-010</t>
  </si>
  <si>
    <t>Bài</t>
  </si>
  <si>
    <t>Con học bài một</t>
  </si>
  <si>
    <t>Chọn lesson 1</t>
  </si>
  <si>
    <t>VD-011</t>
  </si>
  <si>
    <t>Xác nhận Có</t>
  </si>
  <si>
    <t>Có</t>
  </si>
  <si>
    <t>Dạ có; Có ạ; Con muốn học lại</t>
  </si>
  <si>
    <t>Affirmative</t>
  </si>
  <si>
    <t>VD-012</t>
  </si>
  <si>
    <t>Xác nhận Không</t>
  </si>
  <si>
    <t>Không</t>
  </si>
  <si>
    <t>Dạ không; Không ạ; Không đâu</t>
  </si>
  <si>
    <t>VD-013</t>
  </si>
  <si>
    <t>Cuối bài</t>
  </si>
  <si>
    <t>Bài sau; Qua bài mới</t>
  </si>
  <si>
    <t>Next lesson</t>
  </si>
  <si>
    <t>VD-014</t>
  </si>
  <si>
    <t>Làm lại bài này; Học từ đầu</t>
  </si>
  <si>
    <t>Restart lesson</t>
  </si>
  <si>
    <t>VD-015</t>
  </si>
  <si>
    <t>Điều khiển</t>
  </si>
  <si>
    <t>Thôi; Không học nữa</t>
  </si>
  <si>
    <t>Stop</t>
  </si>
  <si>
    <t>Chỉ dùng trong cửa sổ lệnh</t>
  </si>
  <si>
    <t>VD-016</t>
  </si>
  <si>
    <t>Còn cái gì khác để học không</t>
  </si>
  <si>
    <t>Con muốn học cái khác</t>
  </si>
  <si>
    <t>Mở menu học khác</t>
  </si>
  <si>
    <t>Không dịch như câu thường</t>
  </si>
  <si>
    <t>VD-017</t>
  </si>
  <si>
    <t>Câu đúng</t>
  </si>
  <si>
    <t>hello; HELLO</t>
  </si>
  <si>
    <t>Good</t>
  </si>
  <si>
    <t>Expected: Hello!</t>
  </si>
  <si>
    <t>VD-018</t>
  </si>
  <si>
    <t>I'm An</t>
  </si>
  <si>
    <t>I am An; im an</t>
  </si>
  <si>
    <t>Bỏ qua dấu câu/ngữ điệu</t>
  </si>
  <si>
    <t>VD-019</t>
  </si>
  <si>
    <t>Câu sai</t>
  </si>
  <si>
    <t>Câu tiếng Việt bất kỳ</t>
  </si>
  <si>
    <t>Retry</t>
  </si>
  <si>
    <t>Expected: I'm An</t>
  </si>
  <si>
    <t>VD-020</t>
  </si>
  <si>
    <t>Âm rất nhỏ; nhiễu</t>
  </si>
  <si>
    <t>Unclear</t>
  </si>
  <si>
    <t>Không coi là sai</t>
  </si>
  <si>
    <t>ENV-001</t>
  </si>
  <si>
    <t>Online ổn định</t>
  </si>
  <si>
    <t>Wi-Fi/4G</t>
  </si>
  <si>
    <t>Thành công</t>
  </si>
  <si>
    <t>ENV-002</t>
  </si>
  <si>
    <t>Airplane mode</t>
  </si>
  <si>
    <t>Lỗi thân thiện</t>
  </si>
  <si>
    <t>ENV-003</t>
  </si>
  <si>
    <t>Latency 2–5 giây</t>
  </si>
  <si>
    <t>Packet loss 10%</t>
  </si>
  <si>
    <t>Timeout/retry an toàn</t>
  </si>
  <si>
    <t>ENV-004</t>
  </si>
  <si>
    <t>Backend</t>
  </si>
  <si>
    <t>HTTP 404 + HTML</t>
  </si>
  <si>
    <t>Server action not found</t>
  </si>
  <si>
    <t>Không FormatException</t>
  </si>
  <si>
    <t>ENV-005</t>
  </si>
  <si>
    <t>Connection refused</t>
  </si>
  <si>
    <t>Không lộ 127.0.0.1</t>
  </si>
  <si>
    <t>AUD-001</t>
  </si>
  <si>
    <t>Loa ngoài 100%</t>
  </si>
  <si>
    <t>Echo mạnh</t>
  </si>
  <si>
    <t>Không tự nghe</t>
  </si>
  <si>
    <t>AUD-002</t>
  </si>
  <si>
    <t>Tai nghe Bluetooth</t>
  </si>
  <si>
    <t>Audio route đúng</t>
  </si>
  <si>
    <t>AUD-003</t>
  </si>
  <si>
    <t>Nhiễu lớp học</t>
  </si>
  <si>
    <t>Trẻ nói cách micro 1 m</t>
  </si>
  <si>
    <t>Không điều hướng sai</t>
  </si>
  <si>
    <t>AUD-004</t>
  </si>
  <si>
    <t>Nói ngay trước beep</t>
  </si>
  <si>
    <t>Nói chen</t>
  </si>
  <si>
    <t>Không xử lý</t>
  </si>
  <si>
    <t>AUD-005</t>
  </si>
  <si>
    <t>Nói ngay sau beep</t>
  </si>
  <si>
    <t>Từ đầu ngắn</t>
  </si>
  <si>
    <t>Không mất âm đầu</t>
  </si>
  <si>
    <t>URL-001</t>
  </si>
  <si>
    <t>Intro</t>
  </si>
  <si>
    <t>Cloudinary HTTP 200</t>
  </si>
  <si>
    <t>Phát audio My Name</t>
  </si>
  <si>
    <t>Từ introAudioUrl</t>
  </si>
  <si>
    <t>URL-002</t>
  </si>
  <si>
    <t>introAudioUrl = null</t>
  </si>
  <si>
    <t>Không có asset</t>
  </si>
  <si>
    <t>Hiện lỗi + Bỏ qua</t>
  </si>
  <si>
    <t>Không dùng TTS</t>
  </si>
  <si>
    <t>TRACEABILITY — PHẠM VI VÀ ĐỘ BAO PHỦ</t>
  </si>
  <si>
    <t>REQ_ID</t>
  </si>
  <si>
    <t>Yêu cầu kiểm thử</t>
  </si>
  <si>
    <t>Mức rủi ro</t>
  </si>
  <si>
    <t>Test Cases</t>
  </si>
  <si>
    <t>Coverage count</t>
  </si>
  <si>
    <t>REQ-01</t>
  </si>
  <si>
    <t>Cài đặt, nâng cấp, quyền micro và lifecycle phải an toàn.</t>
  </si>
  <si>
    <t>Cao</t>
  </si>
  <si>
    <t>TC-001, TC-002, TC-003, TC-004, TC-005, TC-006, TC-007</t>
  </si>
  <si>
    <t>REQ-02</t>
  </si>
  <si>
    <t>Main độc lập, không chồng TTS/micro và nghe sau beep.</t>
  </si>
  <si>
    <t>TC-008, TC-009, TC-010, TC-011, TC-012, TC-013, TC-014, TC-015, TC-016, TC-017, TC-018, TC-019, TC-020</t>
  </si>
  <si>
    <t>REQ-03</t>
  </si>
  <si>
    <t>Dẫn dắt đúng chức năng, tuổi, chủ đề và bài học.</t>
  </si>
  <si>
    <t>TC-021, TC-022, TC-023, TC-024, TC-025, TC-026, TC-027, TC-028, TC-029, TC-030, TC-031, TC-032, TC-033, TC-034, TC-035, TC-036, TC-037, TC-038</t>
  </si>
  <si>
    <t>REQ-04</t>
  </si>
  <si>
    <t>Ghi âm–dịch–phát âm–lượt mới và timeout 10 giây hoạt động ổn định.</t>
  </si>
  <si>
    <t>TC-039, TC-040, TC-041, TC-042, TC-043, TC-044, TC-045, TC-046, TC-047, TC-048, TC-049, TC-050, TC-051, TC-052</t>
  </si>
  <si>
    <t>REQ-05</t>
  </si>
  <si>
    <t>Dịch một câu/liên tục đúng và xử lý lỗi backend thân thiện.</t>
  </si>
  <si>
    <t>TC-053, TC-054, TC-055, TC-056, TC-057, TC-058, TC-059, TC-060, TC-061, TC-062</t>
  </si>
  <si>
    <t>REQ-06</t>
  </si>
  <si>
    <t>Điều hướng đúng bài; lời mở đầu bắt buộc phát introAudioUrl, không TTS.</t>
  </si>
  <si>
    <t>TC-063, TC-064, TC-065, TC-066, TC-067, TC-068, TC-069, TC-070, TC-071, TC-072, TC-073, TC-074, TC-075, TC-076</t>
  </si>
  <si>
    <t>REQ-07</t>
  </si>
  <si>
    <t>Đánh giá đúng/sai/không rõ, retry, Main pause/resume và lưu từ vựng.</t>
  </si>
  <si>
    <t>TC-077, TC-078, TC-079, TC-080, TC-081, TC-082, TC-083, TC-084, TC-085, TC-086, TC-087, TC-088, TC-089, TC-090, TC-091, TC-092, TC-093, TC-094, TC-095, TC-096, TC-097, TC-098, TC-099, TC-100, TC-101, TC-102</t>
  </si>
  <si>
    <t>REQ-08</t>
  </si>
  <si>
    <t>Hoàn thành, học lại và chọn chủ đề sau bài cuối đúng trạng thái.</t>
  </si>
  <si>
    <t>TC-103, TC-104, TC-105, TC-106, TC-107, TC-108, TC-109, TC-110, TC-111, TC-112, TC-113, TC-114, TC-115, TC-116</t>
  </si>
  <si>
    <t>REQ-09</t>
  </si>
  <si>
    <t>Ngôi sao/Luyện lại được lưu, hiển thị và đồng bộ chính xác.</t>
  </si>
  <si>
    <t>TC-117, TC-118, TC-119, TC-120, TC-121, TC-122, TC-123, TC-124</t>
  </si>
  <si>
    <t>REQ-10</t>
  </si>
  <si>
    <t>Kiểm tra offline BLE/HFP/SCO/MAIN không gọi cloud.</t>
  </si>
  <si>
    <t>TC-125, TC-126, TC-127, TC-128, TC-129, TC-130, TC-131</t>
  </si>
  <si>
    <t>REQ-11</t>
  </si>
  <si>
    <t>Ứng dụng ổn định, bảo mật, dễ dùng và đúng cấu hình production.</t>
  </si>
  <si>
    <t>TC-132, TC-133, TC-134, TC-135, TC-136, TC-137, TC-138, TC-139, TC-140, TC-141, TC-142, TC-143, TC-144</t>
  </si>
  <si>
    <t>DEFECT LOG — INNOTRIK / BI CÔ</t>
  </si>
  <si>
    <t>Một defect phải có TC liên kết, môi trường, bằng chứng và kết quả mong đợi/thực tế rõ ràng.</t>
  </si>
  <si>
    <t>Defect ID</t>
  </si>
  <si>
    <t>Title</t>
  </si>
  <si>
    <t>Linked TC</t>
  </si>
  <si>
    <t>Severity</t>
  </si>
  <si>
    <t>Environment</t>
  </si>
  <si>
    <t>Steps to reproduce</t>
  </si>
  <si>
    <t>Expected</t>
  </si>
  <si>
    <t>Actual</t>
  </si>
  <si>
    <t>Evidence</t>
  </si>
  <si>
    <t>Owner</t>
  </si>
  <si>
    <t>Created date</t>
  </si>
  <si>
    <t>DEF-001</t>
  </si>
  <si>
    <t>New</t>
  </si>
  <si>
    <t>DEF-002</t>
  </si>
  <si>
    <t>DEF-003</t>
  </si>
  <si>
    <t>DEF-004</t>
  </si>
  <si>
    <t>DEF-005</t>
  </si>
  <si>
    <t>DEF-006</t>
  </si>
  <si>
    <t>DEF-007</t>
  </si>
  <si>
    <t>DEF-008</t>
  </si>
  <si>
    <t>DEF-009</t>
  </si>
  <si>
    <t>DEF-010</t>
  </si>
  <si>
    <t>DEF-011</t>
  </si>
  <si>
    <t>DEF-012</t>
  </si>
  <si>
    <t>DEF-013</t>
  </si>
  <si>
    <t>DEF-014</t>
  </si>
  <si>
    <t>DEF-015</t>
  </si>
  <si>
    <t>DEF-016</t>
  </si>
  <si>
    <t>DEF-017</t>
  </si>
  <si>
    <t>DEF-018</t>
  </si>
  <si>
    <t>DEF-019</t>
  </si>
  <si>
    <t>DEF-020</t>
  </si>
  <si>
    <t>DEF-021</t>
  </si>
  <si>
    <t>DEF-022</t>
  </si>
  <si>
    <t>DEF-023</t>
  </si>
  <si>
    <t>DEF-024</t>
  </si>
  <si>
    <t>DEF-025</t>
  </si>
  <si>
    <t>DEF-026</t>
  </si>
  <si>
    <t>DEF-027</t>
  </si>
  <si>
    <t>DEF-028</t>
  </si>
  <si>
    <t>DEF-029</t>
  </si>
  <si>
    <t>DEF-030</t>
  </si>
  <si>
    <t>HƯỚNG DẪN THỰC THI TEST</t>
  </si>
  <si>
    <t>Mục</t>
  </si>
  <si>
    <t>Nội dung</t>
  </si>
  <si>
    <t>Thông tin</t>
  </si>
  <si>
    <t>Ứng dụng</t>
  </si>
  <si>
    <t>INNOTRIK — phần mềm học tiếng Anh giao tiếp cho trẻ em</t>
  </si>
  <si>
    <t>Candidate</t>
  </si>
  <si>
    <t>APK production 1.0.4+8 (versionCode 8)</t>
  </si>
  <si>
    <t>https://speaking-ai-nextjs-backend-production.up.railway.app</t>
  </si>
  <si>
    <t>Nền tảng chính</t>
  </si>
  <si>
    <t>Android API 24+, targetSdk 36</t>
  </si>
  <si>
    <t>Lưu ý ký APK</t>
  </si>
  <si>
    <t>Release hiện dùng Android Debug certificate; không dùng phát hành Play Store</t>
  </si>
  <si>
    <t>Luồng chặn phát hành, mất dữ liệu, crash, sai điều hướng nghiêm trọng, micro/TTS chồng chéo</t>
  </si>
  <si>
    <t>Chức năng chính sai nhưng có thể né hoặc không làm mất dữ liệu</t>
  </si>
  <si>
    <t>Lỗi trung bình/UX; chức năng cốt lõi vẫn dùng được</t>
  </si>
  <si>
    <t>Lỗi nhỏ, thẩm mỹ hoặc cải tiến</t>
  </si>
  <si>
    <t>Chưa thực thi</t>
  </si>
  <si>
    <t>Kết quả thực tế khớp hoàn toàn Expected result</t>
  </si>
  <si>
    <t>Có ít nhất một bước không đạt; phải tạo Defect ID</t>
  </si>
  <si>
    <t>Không thể thực thi do môi trường, dữ liệu hoặc phụ thuộc</t>
  </si>
  <si>
    <t>Không áp dụng cho build/môi trường hiện tại</t>
  </si>
  <si>
    <t>Quy trình</t>
  </si>
  <si>
    <t>1</t>
  </si>
  <si>
    <t>Chuẩn bị đúng precondition và test data</t>
  </si>
  <si>
    <t>2</t>
  </si>
  <si>
    <t>Thực hiện đúng thứ tự bước; không bỏ qua beep/audio/micro state</t>
  </si>
  <si>
    <t>3</t>
  </si>
  <si>
    <t>Ghi Actual result, Status, Evidence và Bug ID</t>
  </si>
  <si>
    <t>Retest defect trên build sửa; chạy regression các P0/P1 liên quan</t>
  </si>
  <si>
    <t>Entry criteria</t>
  </si>
  <si>
    <t>Bắt đầu test</t>
  </si>
  <si>
    <t>APK cài được; backend/môi trường xác định; dữ liệu tuổi/chủ đề sẵn sàng; thiết bị có micro và loa</t>
  </si>
  <si>
    <t>Exit criteria</t>
  </si>
  <si>
    <t>Cho phép phát hành QA</t>
  </si>
  <si>
    <t>100% P0/P1 đã chạy; không còn P0 Failed/Blocked; P1 còn lại có đánh giá rủi ro được chấp thuận</t>
  </si>
  <si>
    <t>Nguồn</t>
  </si>
  <si>
    <t>Frontend</t>
  </si>
  <si>
    <t>D:\Code\HuaMei\App_noi\flutter\9_12th8\speaking-ai-flutter</t>
  </si>
  <si>
    <t>Lexicon</t>
  </si>
  <si>
    <t>C:\Users\DELL\Documents\Book1.xlsx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</si>
</sst>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%"/>
  </numFmts>
  <fonts count="10">
    <font>
      <sz val="11"/>
      <name val="Carlito"/>
    </font>
    <font>
      <b/>
      <sz val="18"/>
      <color rgb="FFFFFFFF"/>
      <name val="Carlito"/>
    </font>
    <font>
      <i/>
      <sz val="10"/>
      <color rgb="FF102A56"/>
      <name val="Carlito"/>
    </font>
    <font>
      <sz val="10"/>
      <color rgb="FF17233C"/>
      <name val="Aptos"/>
    </font>
    <font>
      <b/>
      <sz val="10"/>
      <color rgb="FFFFFFFF"/>
      <name val="Aptos"/>
    </font>
    <font>
      <i/>
      <sz val="11"/>
      <color rgb="FF102A56"/>
      <name val="Carlito"/>
    </font>
    <font>
      <b/>
      <sz val="10"/>
      <color rgb="FF102A56"/>
      <name val="Carlito"/>
    </font>
    <font>
      <b/>
      <sz val="18"/>
      <color rgb="FF3157D5"/>
      <name val="Carlito"/>
    </font>
    <font>
      <b/>
      <sz val="15"/>
      <color rgb="FF3157D5"/>
      <name val="Carlito"/>
    </font>
    <font>
      <b/>
      <sz val="10"/>
      <color rgb="FF17233C"/>
      <name val="Aptos"/>
    </font>
  </fonts>
  <fills count="6">
    <fill>
      <patternFill patternType="none"/>
    </fill>
    <fill>
      <patternFill patternType="gray125"/>
    </fill>
    <fill>
      <patternFill patternType="solid">
        <fgColor rgb="FF102A56"/>
      </patternFill>
    </fill>
    <fill>
      <patternFill patternType="solid">
        <fgColor rgb="FFEAF1FF"/>
      </patternFill>
    </fill>
    <fill>
      <patternFill patternType="solid">
        <fgColor rgb="FF3157D5"/>
      </patternFill>
    </fill>
    <fill>
      <patternFill patternType="solid">
        <fgColor rgb="FFF7F9FC"/>
      </patternFill>
    </fill>
  </fills>
  <borders count="7">
    <border>
      <left/>
      <right/>
      <top/>
      <bottom/>
      <diagonal/>
    </border>
    <border>
      <left style="thin">
        <color rgb="FFD6DEEA"/>
      </left>
      <right/>
      <top style="thin">
        <color rgb="FFD6DEEA"/>
      </top>
      <bottom/>
      <diagonal/>
    </border>
    <border>
      <left/>
      <right style="thin">
        <color rgb="FFD6DEEA"/>
      </right>
      <top style="thin">
        <color rgb="FFD6DEEA"/>
      </top>
      <bottom/>
      <diagonal/>
    </border>
    <border>
      <left style="thin">
        <color rgb="FFD6DEEA"/>
      </left>
      <right/>
      <top/>
      <bottom style="thin">
        <color rgb="FFD6DEEA"/>
      </bottom>
      <diagonal/>
    </border>
    <border>
      <left/>
      <right style="thin">
        <color rgb="FFD6DEEA"/>
      </right>
      <top/>
      <bottom style="thin">
        <color rgb="FFD6DEEA"/>
      </bottom>
      <diagonal/>
    </border>
    <border>
      <left/>
      <right style="thin">
        <color rgb="FFD6DEEA"/>
      </right>
      <top style="thin">
        <color rgb="FFD6DEEA"/>
      </top>
      <bottom style="thin">
        <color rgb="FFD6DEEA"/>
      </bottom>
      <diagonal/>
    </border>
    <border>
      <left style="thin">
        <color rgb="FFD6DEEA"/>
      </left>
      <right/>
      <top style="thin">
        <color rgb="FFD6DEEA"/>
      </top>
      <bottom style="thin">
        <color rgb="FFD6DEEA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0" borderId="0" xfId="0" applyFont="1"/>
    <xf numFmtId="0" fontId="4" fillId="4" borderId="0" xfId="0" applyFont="1" applyFill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center" vertical="top" wrapText="1"/>
    </xf>
    <xf numFmtId="164" fontId="3" fillId="0" borderId="0" xfId="0" applyNumberFormat="1" applyFont="1" applyAlignment="1">
      <alignment vertical="top" wrapText="1"/>
    </xf>
    <xf numFmtId="0" fontId="6" fillId="5" borderId="1" xfId="0" applyFont="1" applyFill="1" applyBorder="1" applyAlignment="1">
      <alignment vertical="center"/>
    </xf>
    <xf numFmtId="0" fontId="6" fillId="5" borderId="2" xfId="0" applyFont="1" applyFill="1" applyBorder="1" applyAlignment="1">
      <alignment vertical="center"/>
    </xf>
    <xf numFmtId="0" fontId="7" fillId="5" borderId="3" xfId="0" applyFont="1" applyFill="1" applyBorder="1" applyAlignment="1">
      <alignment vertical="center"/>
    </xf>
    <xf numFmtId="0" fontId="7" fillId="5" borderId="4" xfId="0" applyFont="1" applyFill="1" applyBorder="1" applyAlignment="1">
      <alignment vertical="center"/>
    </xf>
    <xf numFmtId="0" fontId="8" fillId="5" borderId="3" xfId="0" applyFont="1" applyFill="1" applyBorder="1" applyAlignment="1">
      <alignment vertical="center"/>
    </xf>
    <xf numFmtId="0" fontId="8" fillId="5" borderId="4" xfId="0" applyFont="1" applyFill="1" applyBorder="1" applyAlignment="1">
      <alignment vertical="center"/>
    </xf>
    <xf numFmtId="0" fontId="9" fillId="4" borderId="0" xfId="0" applyFont="1" applyFill="1" applyAlignment="1">
      <alignment horizontal="center"/>
    </xf>
    <xf numFmtId="0" fontId="3" fillId="0" borderId="4" xfId="0" applyFont="1" applyBorder="1"/>
    <xf numFmtId="0" fontId="3" fillId="0" borderId="3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2" xfId="0" applyFont="1" applyBorder="1"/>
    <xf numFmtId="0" fontId="3" fillId="0" borderId="1" xfId="0" applyFont="1" applyBorder="1"/>
    <xf numFmtId="165" fontId="3" fillId="0" borderId="6" xfId="0" applyNumberFormat="1" applyFont="1" applyBorder="1"/>
    <xf numFmtId="165" fontId="3" fillId="0" borderId="1" xfId="0" applyNumberFormat="1" applyFont="1" applyBorder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0" fontId="1" fillId="2" borderId="0" xfId="0" applyFont="1" applyFill="1" applyAlignment="1">
      <alignment horizontal="left" vertical="center"/>
    </xf>
    <xf numFmtId="0" fontId="5" fillId="3" borderId="0" xfId="0" applyFont="1" applyFill="1" applyAlignment="1">
      <alignment vertical="center"/>
    </xf>
    <xf numFmtId="0" fontId="2" fillId="3" borderId="0" xfId="0" applyFont="1" applyFill="1" applyAlignment="1">
      <alignment vertical="center" wrapText="1"/>
    </xf>
    <xf numFmtId="0" fontId="5" fillId="3" borderId="0" xfId="0" applyFont="1" applyFill="1" applyAlignment="1">
      <alignment wrapText="1"/>
    </xf>
    <xf numFmtId="0" fontId="5" fillId="3" borderId="0" xfId="0" applyFont="1" applyFill="1"/>
  </cellXfs>
  <cellStyles count="1">
    <cellStyle name="Normal" xfId="0" builtinId="0"/>
  </cellStyles>
  <dxfs count="7">
    <dxf>
      <font>
        <color rgb="FF102A56"/>
      </font>
      <fill>
        <patternFill patternType="solid">
          <bgColor rgb="FFEAF1FF"/>
        </patternFill>
      </fill>
    </dxf>
    <dxf>
      <font>
        <b/>
        <color rgb="FF8A5A00"/>
      </font>
      <fill>
        <patternFill patternType="solid">
          <bgColor rgb="FFFFF1CC"/>
        </patternFill>
      </fill>
    </dxf>
    <dxf>
      <font>
        <b/>
        <color rgb="FFA32121"/>
      </font>
      <fill>
        <patternFill patternType="solid">
          <bgColor rgb="FFFDE2E2"/>
        </patternFill>
      </fill>
    </dxf>
    <dxf>
      <font>
        <color rgb="FF475569"/>
      </font>
      <fill>
        <patternFill patternType="solid">
          <bgColor rgb="FFE9EDF3"/>
        </patternFill>
      </fill>
    </dxf>
    <dxf>
      <font>
        <b/>
        <color rgb="FF8A5A00"/>
      </font>
      <fill>
        <patternFill patternType="solid">
          <bgColor rgb="FFFFF1CC"/>
        </patternFill>
      </fill>
    </dxf>
    <dxf>
      <font>
        <b/>
        <color rgb="FFA32121"/>
      </font>
      <fill>
        <patternFill patternType="solid">
          <bgColor rgb="FFFDE2E2"/>
        </patternFill>
      </fill>
    </dxf>
    <dxf>
      <font>
        <b/>
        <color rgb="FF17623A"/>
      </font>
      <fill>
        <patternFill patternType="solid">
          <bgColor rgb="FFDDF6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Tiến độ thực thi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Số lượng</c:v>
          </c:tx>
          <c:cat>
            <c:strRef>
              <c:f>Dashboard!$A$9:$A$13</c:f>
              <c:strCache>
                <c:ptCount val="5"/>
                <c:pt idx="0">
                  <c:v>Not Run</c:v>
                </c:pt>
                <c:pt idx="1">
                  <c:v>Passed</c:v>
                </c:pt>
                <c:pt idx="2">
                  <c:v>Failed</c:v>
                </c:pt>
                <c:pt idx="3">
                  <c:v>Blocked</c:v>
                </c:pt>
                <c:pt idx="4">
                  <c:v>N/A</c:v>
                </c:pt>
              </c:strCache>
            </c:strRef>
          </c:cat>
          <c:val>
            <c:numRef>
              <c:f>Dashboard!$B$9:$B$13</c:f>
              <c:numCache>
                <c:formatCode>General</c:formatCode>
                <c:ptCount val="5"/>
                <c:pt idx="0">
                  <c:v>144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29-40E9-B948-248AE4B594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0"/>
      </c:doughnutChart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Số test theo module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Số test</c:v>
          </c:tx>
          <c:invertIfNegative val="1"/>
          <c:cat>
            <c:strRef>
              <c:f>Dashboard!$D$9:$D$19</c:f>
              <c:strCache>
                <c:ptCount val="11"/>
                <c:pt idx="0">
                  <c:v>Cài đặt &amp; vòng đời</c:v>
                </c:pt>
                <c:pt idx="1">
                  <c:v>Main &amp; Wake word</c:v>
                </c:pt>
                <c:pt idx="2">
                  <c:v>Điều hướng AI</c:v>
                </c:pt>
                <c:pt idx="3">
                  <c:v>Luyện nói</c:v>
                </c:pt>
                <c:pt idx="4">
                  <c:v>Dịch tiếng Anh</c:v>
                </c:pt>
                <c:pt idx="5">
                  <c:v>Chủ đề &amp; lời mở đầu</c:v>
                </c:pt>
                <c:pt idx="6">
                  <c:v>Luyện bài</c:v>
                </c:pt>
                <c:pt idx="7">
                  <c:v>Cuối bài/chủ đề</c:v>
                </c:pt>
                <c:pt idx="8">
                  <c:v>Từ vựng</c:v>
                </c:pt>
                <c:pt idx="9">
                  <c:v>H20 phần cứng</c:v>
                </c:pt>
                <c:pt idx="10">
                  <c:v>Phi chức năng</c:v>
                </c:pt>
              </c:strCache>
            </c:strRef>
          </c:cat>
          <c:val>
            <c:numRef>
              <c:f>Dashboard!$E$9:$E$19</c:f>
              <c:numCache>
                <c:formatCode>General</c:formatCode>
                <c:ptCount val="11"/>
                <c:pt idx="0">
                  <c:v>7</c:v>
                </c:pt>
                <c:pt idx="1">
                  <c:v>13</c:v>
                </c:pt>
                <c:pt idx="2">
                  <c:v>18</c:v>
                </c:pt>
                <c:pt idx="3">
                  <c:v>14</c:v>
                </c:pt>
                <c:pt idx="4">
                  <c:v>10</c:v>
                </c:pt>
                <c:pt idx="5">
                  <c:v>14</c:v>
                </c:pt>
                <c:pt idx="6">
                  <c:v>26</c:v>
                </c:pt>
                <c:pt idx="7">
                  <c:v>14</c:v>
                </c:pt>
                <c:pt idx="8">
                  <c:v>8</c:v>
                </c:pt>
                <c:pt idx="9">
                  <c:v>7</c:v>
                </c:pt>
                <c:pt idx="10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38-4CEB-B2C5-6D777872D4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4</xdr:row>
      <xdr:rowOff>0</xdr:rowOff>
    </xdr:from>
    <xdr:to>
      <xdr:col>17</xdr:col>
      <xdr:colOff>0</xdr:colOff>
      <xdr:row>17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18</xdr:row>
      <xdr:rowOff>0</xdr:rowOff>
    </xdr:from>
    <xdr:to>
      <xdr:col>17</xdr:col>
      <xdr:colOff>0</xdr:colOff>
      <xdr:row>38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estCasesTable" displayName="TestCasesTable" ref="A4:Q148" totalsRowShown="0">
  <autoFilter ref="A4:Q148" xr:uid="{00000000-0009-0000-0100-000001000000}"/>
  <tableColumns count="17">
    <tableColumn id="1" xr3:uid="{00000000-0010-0000-0000-000001000000}" name="TC_ID"/>
    <tableColumn id="2" xr3:uid="{00000000-0010-0000-0000-000002000000}" name="Module"/>
    <tableColumn id="3" xr3:uid="{00000000-0010-0000-0000-000003000000}" name="Feature"/>
    <tableColumn id="4" xr3:uid="{00000000-0010-0000-0000-000004000000}" name="Test scenario"/>
    <tableColumn id="5" xr3:uid="{00000000-0010-0000-0000-000005000000}" name="Preconditions"/>
    <tableColumn id="6" xr3:uid="{00000000-0010-0000-0000-000006000000}" name="Test steps"/>
    <tableColumn id="7" xr3:uid="{00000000-0010-0000-0000-000007000000}" name="Test data"/>
    <tableColumn id="8" xr3:uid="{00000000-0010-0000-0000-000008000000}" name="Expected result"/>
    <tableColumn id="9" xr3:uid="{00000000-0010-0000-0000-000009000000}" name="Priority"/>
    <tableColumn id="10" xr3:uid="{00000000-0010-0000-0000-00000A000000}" name="Test type"/>
    <tableColumn id="11" xr3:uid="{00000000-0010-0000-0000-00000B000000}" name="Platform"/>
    <tableColumn id="12" xr3:uid="{00000000-0010-0000-0000-00000C000000}" name="Status"/>
    <tableColumn id="13" xr3:uid="{00000000-0010-0000-0000-00000D000000}" name="Actual result"/>
    <tableColumn id="14" xr3:uid="{00000000-0010-0000-0000-00000E000000}" name="Evidence / Bug ID"/>
    <tableColumn id="15" xr3:uid="{00000000-0010-0000-0000-00000F000000}" name="Tester"/>
    <tableColumn id="16" xr3:uid="{00000000-0010-0000-0000-000010000000}" name="Test date"/>
    <tableColumn id="17" xr3:uid="{00000000-0010-0000-0000-000011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estDataTable" displayName="TestDataTable" ref="A4:F36" totalsRowShown="0">
  <tableColumns count="6">
    <tableColumn id="1" xr3:uid="{00000000-0010-0000-0100-000001000000}" name="Data ID"/>
    <tableColumn id="2" xr3:uid="{00000000-0010-0000-0100-000002000000}" name="Nhóm"/>
    <tableColumn id="3" xr3:uid="{00000000-0010-0000-0100-000003000000}" name="Input / Điều kiện"/>
    <tableColumn id="4" xr3:uid="{00000000-0010-0000-0100-000004000000}" name="Biến thể"/>
    <tableColumn id="5" xr3:uid="{00000000-0010-0000-0100-000005000000}" name="Kết quả mong đợi"/>
    <tableColumn id="6" xr3:uid="{00000000-0010-0000-0100-000006000000}" name="Ghi chú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raceabilityTable" displayName="TraceabilityTable" ref="A4:G15" totalsRowShown="0">
  <tableColumns count="7">
    <tableColumn id="1" xr3:uid="{00000000-0010-0000-0200-000001000000}" name="REQ_ID"/>
    <tableColumn id="2" xr3:uid="{00000000-0010-0000-0200-000002000000}" name="Module"/>
    <tableColumn id="3" xr3:uid="{00000000-0010-0000-0200-000003000000}" name="Yêu cầu kiểm thử"/>
    <tableColumn id="4" xr3:uid="{00000000-0010-0000-0200-000004000000}" name="Mức rủi ro"/>
    <tableColumn id="5" xr3:uid="{00000000-0010-0000-0200-000005000000}" name="Test Cases"/>
    <tableColumn id="6" xr3:uid="{00000000-0010-0000-0200-000006000000}" name="Coverage count"/>
    <tableColumn id="7" xr3:uid="{00000000-0010-0000-0200-000007000000}" name="Ghi chú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DefectLogTable" displayName="DefectLogTable" ref="A4:M34" totalsRowShown="0">
  <tableColumns count="13">
    <tableColumn id="1" xr3:uid="{00000000-0010-0000-0300-000001000000}" name="Defect ID"/>
    <tableColumn id="2" xr3:uid="{00000000-0010-0000-0300-000002000000}" name="Title"/>
    <tableColumn id="3" xr3:uid="{00000000-0010-0000-0300-000003000000}" name="Linked TC"/>
    <tableColumn id="4" xr3:uid="{00000000-0010-0000-0300-000004000000}" name="Severity"/>
    <tableColumn id="5" xr3:uid="{00000000-0010-0000-0300-000005000000}" name="Priority"/>
    <tableColumn id="6" xr3:uid="{00000000-0010-0000-0300-000006000000}" name="Status"/>
    <tableColumn id="7" xr3:uid="{00000000-0010-0000-0300-000007000000}" name="Environment"/>
    <tableColumn id="8" xr3:uid="{00000000-0010-0000-0300-000008000000}" name="Steps to reproduce"/>
    <tableColumn id="9" xr3:uid="{00000000-0010-0000-0300-000009000000}" name="Expected"/>
    <tableColumn id="10" xr3:uid="{00000000-0010-0000-0300-00000A000000}" name="Actual"/>
    <tableColumn id="11" xr3:uid="{00000000-0010-0000-0300-00000B000000}" name="Evidence"/>
    <tableColumn id="12" xr3:uid="{00000000-0010-0000-0300-00000C000000}" name="Owner"/>
    <tableColumn id="13" xr3:uid="{00000000-0010-0000-0300-00000D000000}" name="Created da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GuideTable" displayName="GuideTable" ref="A3:C25" totalsRowShown="0">
  <tableColumns count="3">
    <tableColumn id="1" xr3:uid="{00000000-0010-0000-0400-000001000000}" name="Nhóm"/>
    <tableColumn id="2" xr3:uid="{00000000-0010-0000-0400-000002000000}" name="Mục"/>
    <tableColumn id="3" xr3:uid="{00000000-0010-0000-0400-000003000000}" name="Nội du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"/>
  <sheetViews>
    <sheetView showGridLines="0" workbookViewId="0">
      <selection activeCell="S18" sqref="S13:T18"/>
    </sheetView>
  </sheetViews>
  <sheetFormatPr defaultRowHeight="13.8"/>
  <cols>
    <col min="1" max="1" width="18.69921875" customWidth="1"/>
    <col min="2" max="2" width="11.19921875" customWidth="1"/>
    <col min="3" max="3" width="3.69921875" customWidth="1"/>
    <col min="4" max="4" width="23.69921875" customWidth="1"/>
    <col min="5" max="5" width="10" customWidth="1"/>
    <col min="6" max="6" width="3.69921875" customWidth="1"/>
    <col min="7" max="7" width="11.8984375" customWidth="1"/>
    <col min="8" max="8" width="10.59765625" customWidth="1"/>
  </cols>
  <sheetData>
    <row r="1" spans="1:17" ht="34.049999999999997" customHeight="1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</row>
    <row r="2" spans="1:17" ht="34.049999999999997" customHeight="1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</row>
    <row r="3" spans="1:17" ht="25.95" customHeight="1">
      <c r="A3" s="24" t="s">
        <v>1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</row>
    <row r="5" spans="1:17" ht="30" customHeight="1">
      <c r="A5" s="6" t="s">
        <v>2</v>
      </c>
      <c r="B5" s="7"/>
      <c r="C5" s="6" t="s">
        <v>3</v>
      </c>
      <c r="D5" s="7"/>
      <c r="E5" s="6" t="s">
        <v>4</v>
      </c>
      <c r="F5" s="7"/>
      <c r="G5" s="6" t="s">
        <v>5</v>
      </c>
      <c r="H5" s="7"/>
    </row>
    <row r="6" spans="1:17" ht="30" customHeight="1">
      <c r="A6" s="8">
        <f>COUNTA('Test Cases'!$A$5:$A$300)</f>
        <v>144</v>
      </c>
      <c r="B6" s="9"/>
      <c r="C6" s="8">
        <f>COUNTIF('Test Cases'!$I$5:$I$300,"P0")</f>
        <v>87</v>
      </c>
      <c r="D6" s="9"/>
      <c r="E6" s="8">
        <f>COUNTIF('Test Cases'!$I$5:$I$300,"P1")</f>
        <v>45</v>
      </c>
      <c r="F6" s="9"/>
      <c r="G6" s="10" t="s">
        <v>6</v>
      </c>
      <c r="H6" s="11"/>
    </row>
    <row r="8" spans="1:17">
      <c r="A8" s="12" t="s">
        <v>7</v>
      </c>
      <c r="B8" s="12" t="s">
        <v>8</v>
      </c>
      <c r="C8" s="1"/>
      <c r="D8" s="12" t="s">
        <v>9</v>
      </c>
      <c r="E8" s="12" t="s">
        <v>10</v>
      </c>
      <c r="F8" s="1"/>
      <c r="G8" s="12" t="s">
        <v>11</v>
      </c>
      <c r="H8" s="12" t="s">
        <v>10</v>
      </c>
    </row>
    <row r="9" spans="1:17">
      <c r="A9" s="13" t="s">
        <v>12</v>
      </c>
      <c r="B9" s="14">
        <f>COUNTIF('Test Cases'!$L$5:$L$300,A9)</f>
        <v>144</v>
      </c>
      <c r="C9" s="1"/>
      <c r="D9" s="13" t="s">
        <v>13</v>
      </c>
      <c r="E9" s="14">
        <f>COUNTIF('Test Cases'!$B$5:$B$300,D9)</f>
        <v>7</v>
      </c>
      <c r="F9" s="1"/>
      <c r="G9" s="13" t="s">
        <v>3</v>
      </c>
      <c r="H9" s="14">
        <f>COUNTIF('Test Cases'!$I$5:$I$300,G9)</f>
        <v>87</v>
      </c>
    </row>
    <row r="10" spans="1:17">
      <c r="A10" s="15" t="s">
        <v>14</v>
      </c>
      <c r="B10" s="16">
        <f>COUNTIF('Test Cases'!$L$5:$L$300,A10)</f>
        <v>0</v>
      </c>
      <c r="C10" s="1"/>
      <c r="D10" s="15" t="s">
        <v>15</v>
      </c>
      <c r="E10" s="16">
        <f>COUNTIF('Test Cases'!$B$5:$B$300,D10)</f>
        <v>13</v>
      </c>
      <c r="F10" s="1"/>
      <c r="G10" s="15" t="s">
        <v>4</v>
      </c>
      <c r="H10" s="16">
        <f>COUNTIF('Test Cases'!$I$5:$I$300,G10)</f>
        <v>45</v>
      </c>
    </row>
    <row r="11" spans="1:17">
      <c r="A11" s="15" t="s">
        <v>16</v>
      </c>
      <c r="B11" s="16">
        <f>COUNTIF('Test Cases'!$L$5:$L$300,A11)</f>
        <v>0</v>
      </c>
      <c r="C11" s="1"/>
      <c r="D11" s="15" t="s">
        <v>17</v>
      </c>
      <c r="E11" s="16">
        <f>COUNTIF('Test Cases'!$B$5:$B$300,D11)</f>
        <v>18</v>
      </c>
      <c r="F11" s="1"/>
      <c r="G11" s="15" t="s">
        <v>18</v>
      </c>
      <c r="H11" s="16">
        <f>COUNTIF('Test Cases'!$I$5:$I$300,G11)</f>
        <v>12</v>
      </c>
    </row>
    <row r="12" spans="1:17">
      <c r="A12" s="15" t="s">
        <v>19</v>
      </c>
      <c r="B12" s="16">
        <f>COUNTIF('Test Cases'!$L$5:$L$300,A12)</f>
        <v>0</v>
      </c>
      <c r="C12" s="1"/>
      <c r="D12" s="15" t="s">
        <v>20</v>
      </c>
      <c r="E12" s="16">
        <f>COUNTIF('Test Cases'!$B$5:$B$300,D12)</f>
        <v>14</v>
      </c>
      <c r="F12" s="1"/>
      <c r="G12" s="17" t="s">
        <v>21</v>
      </c>
      <c r="H12" s="18">
        <f>COUNTIF('Test Cases'!$I$5:$I$300,G12)</f>
        <v>0</v>
      </c>
    </row>
    <row r="13" spans="1:17">
      <c r="A13" s="15" t="s">
        <v>22</v>
      </c>
      <c r="B13" s="16">
        <f>COUNTIF('Test Cases'!$L$5:$L$300,A13)</f>
        <v>0</v>
      </c>
      <c r="C13" s="1"/>
      <c r="D13" s="15" t="s">
        <v>23</v>
      </c>
      <c r="E13" s="16">
        <f>COUNTIF('Test Cases'!$B$5:$B$300,D13)</f>
        <v>10</v>
      </c>
      <c r="F13" s="1"/>
      <c r="G13" s="1"/>
      <c r="H13" s="1"/>
    </row>
    <row r="14" spans="1:17">
      <c r="A14" s="15"/>
      <c r="B14" s="16"/>
      <c r="C14" s="1"/>
      <c r="D14" s="15" t="s">
        <v>24</v>
      </c>
      <c r="E14" s="16">
        <f>COUNTIF('Test Cases'!$B$5:$B$300,D14)</f>
        <v>14</v>
      </c>
      <c r="F14" s="1"/>
      <c r="G14" s="1"/>
      <c r="H14" s="1"/>
    </row>
    <row r="15" spans="1:17">
      <c r="A15" s="15" t="s">
        <v>25</v>
      </c>
      <c r="B15" s="16">
        <f>B10+B11+B12</f>
        <v>0</v>
      </c>
      <c r="C15" s="1"/>
      <c r="D15" s="15" t="s">
        <v>26</v>
      </c>
      <c r="E15" s="16">
        <f>COUNTIF('Test Cases'!$B$5:$B$300,D15)</f>
        <v>26</v>
      </c>
      <c r="F15" s="1"/>
      <c r="G15" s="1"/>
      <c r="H15" s="1"/>
    </row>
    <row r="16" spans="1:17">
      <c r="A16" s="15" t="s">
        <v>27</v>
      </c>
      <c r="B16" s="19">
        <f>IFERROR(B15/(B6-B13),0)</f>
        <v>0</v>
      </c>
      <c r="C16" s="1"/>
      <c r="D16" s="15" t="s">
        <v>28</v>
      </c>
      <c r="E16" s="16">
        <f>COUNTIF('Test Cases'!$B$5:$B$300,D16)</f>
        <v>14</v>
      </c>
      <c r="F16" s="1"/>
      <c r="G16" s="1"/>
      <c r="H16" s="1"/>
    </row>
    <row r="17" spans="1:8">
      <c r="A17" s="17" t="s">
        <v>29</v>
      </c>
      <c r="B17" s="20">
        <f>IFERROR(B10/(B10+B11),0)</f>
        <v>0</v>
      </c>
      <c r="C17" s="1"/>
      <c r="D17" s="15" t="s">
        <v>30</v>
      </c>
      <c r="E17" s="16">
        <f>COUNTIF('Test Cases'!$B$5:$B$300,D17)</f>
        <v>8</v>
      </c>
      <c r="F17" s="1"/>
      <c r="G17" s="1"/>
      <c r="H17" s="1"/>
    </row>
    <row r="18" spans="1:8">
      <c r="A18" s="1"/>
      <c r="B18" s="1"/>
      <c r="C18" s="1"/>
      <c r="D18" s="15" t="s">
        <v>31</v>
      </c>
      <c r="E18" s="16">
        <f>COUNTIF('Test Cases'!$B$5:$B$300,D18)</f>
        <v>7</v>
      </c>
      <c r="F18" s="1"/>
      <c r="G18" s="1"/>
      <c r="H18" s="1"/>
    </row>
    <row r="19" spans="1:8">
      <c r="A19" s="1"/>
      <c r="B19" s="1"/>
      <c r="C19" s="1"/>
      <c r="D19" s="17" t="s">
        <v>32</v>
      </c>
      <c r="E19" s="18">
        <f>COUNTIF('Test Cases'!$B$5:$B$300,D19)</f>
        <v>13</v>
      </c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</sheetData>
  <mergeCells count="2">
    <mergeCell ref="A1:Q2"/>
    <mergeCell ref="A3:Q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48"/>
  <sheetViews>
    <sheetView showGridLines="0" tabSelected="1" topLeftCell="A64" workbookViewId="0">
      <selection activeCell="E49" sqref="E49"/>
    </sheetView>
  </sheetViews>
  <sheetFormatPr defaultRowHeight="13.8"/>
  <cols>
    <col min="1" max="1" width="10.19921875" customWidth="1"/>
    <col min="2" max="3" width="18.09765625" customWidth="1"/>
    <col min="4" max="4" width="30" customWidth="1"/>
    <col min="5" max="5" width="28.09765625" customWidth="1"/>
    <col min="6" max="6" width="41.19921875" customWidth="1"/>
    <col min="7" max="7" width="23.09765625" customWidth="1"/>
    <col min="8" max="8" width="41.19921875" customWidth="1"/>
    <col min="9" max="9" width="8.69921875" customWidth="1"/>
    <col min="10" max="10" width="12.5" customWidth="1"/>
    <col min="11" max="11" width="10.19921875" customWidth="1"/>
    <col min="12" max="12" width="11" customWidth="1"/>
    <col min="13" max="13" width="30" customWidth="1"/>
    <col min="14" max="14" width="19.3984375" customWidth="1"/>
    <col min="15" max="15" width="11.8984375" customWidth="1"/>
    <col min="16" max="16" width="12.5" customWidth="1"/>
    <col min="17" max="17" width="26.19921875" customWidth="1"/>
  </cols>
  <sheetData>
    <row r="1" spans="1:17" ht="34.049999999999997" customHeight="1">
      <c r="A1" s="23" t="s">
        <v>33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</row>
    <row r="2" spans="1:17" ht="34.049999999999997" customHeight="1">
      <c r="A2" s="25" t="s">
        <v>34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</row>
    <row r="4" spans="1:17" ht="34.049999999999997" customHeight="1">
      <c r="A4" s="2" t="s">
        <v>35</v>
      </c>
      <c r="B4" s="2" t="s">
        <v>9</v>
      </c>
      <c r="C4" s="2" t="s">
        <v>36</v>
      </c>
      <c r="D4" s="2" t="s">
        <v>37</v>
      </c>
      <c r="E4" s="2" t="s">
        <v>38</v>
      </c>
      <c r="F4" s="2" t="s">
        <v>39</v>
      </c>
      <c r="G4" s="2" t="s">
        <v>40</v>
      </c>
      <c r="H4" s="2" t="s">
        <v>41</v>
      </c>
      <c r="I4" s="2" t="s">
        <v>11</v>
      </c>
      <c r="J4" s="2" t="s">
        <v>42</v>
      </c>
      <c r="K4" s="2" t="s">
        <v>43</v>
      </c>
      <c r="L4" s="2" t="s">
        <v>44</v>
      </c>
      <c r="M4" s="2" t="s">
        <v>45</v>
      </c>
      <c r="N4" s="2" t="s">
        <v>46</v>
      </c>
      <c r="O4" s="2" t="s">
        <v>47</v>
      </c>
      <c r="P4" s="2" t="s">
        <v>48</v>
      </c>
      <c r="Q4" s="2" t="s">
        <v>49</v>
      </c>
    </row>
    <row r="5" spans="1:17" ht="67.95" customHeight="1">
      <c r="A5" s="4" t="s">
        <v>50</v>
      </c>
      <c r="B5" s="3" t="s">
        <v>13</v>
      </c>
      <c r="C5" s="3" t="s">
        <v>51</v>
      </c>
      <c r="D5" s="3" t="s">
        <v>52</v>
      </c>
      <c r="E5" s="3" t="s">
        <v>53</v>
      </c>
      <c r="F5" s="3" t="s">
        <v>54</v>
      </c>
      <c r="G5" s="3" t="s">
        <v>55</v>
      </c>
      <c r="H5" s="3" t="s">
        <v>56</v>
      </c>
      <c r="I5" s="4" t="s">
        <v>3</v>
      </c>
      <c r="J5" s="4" t="s">
        <v>57</v>
      </c>
      <c r="K5" s="4" t="s">
        <v>58</v>
      </c>
      <c r="L5" s="4" t="s">
        <v>12</v>
      </c>
      <c r="M5" s="3"/>
      <c r="N5" s="3"/>
      <c r="O5" s="3"/>
      <c r="P5" s="5"/>
      <c r="Q5" s="3"/>
    </row>
    <row r="6" spans="1:17" ht="67.95" customHeight="1">
      <c r="A6" s="4" t="s">
        <v>59</v>
      </c>
      <c r="B6" s="3" t="s">
        <v>13</v>
      </c>
      <c r="C6" s="3" t="s">
        <v>60</v>
      </c>
      <c r="D6" s="3" t="s">
        <v>61</v>
      </c>
      <c r="E6" s="3" t="s">
        <v>62</v>
      </c>
      <c r="F6" s="3" t="s">
        <v>63</v>
      </c>
      <c r="G6" s="3" t="s">
        <v>64</v>
      </c>
      <c r="H6" s="3" t="s">
        <v>65</v>
      </c>
      <c r="I6" s="4" t="s">
        <v>3</v>
      </c>
      <c r="J6" s="4" t="s">
        <v>66</v>
      </c>
      <c r="K6" s="4" t="s">
        <v>58</v>
      </c>
      <c r="L6" s="4" t="s">
        <v>12</v>
      </c>
      <c r="M6" s="3"/>
      <c r="N6" s="3"/>
      <c r="O6" s="3"/>
      <c r="P6" s="5"/>
      <c r="Q6" s="3"/>
    </row>
    <row r="7" spans="1:17" ht="67.95" customHeight="1">
      <c r="A7" s="4" t="s">
        <v>67</v>
      </c>
      <c r="B7" s="3" t="s">
        <v>13</v>
      </c>
      <c r="C7" s="3" t="s">
        <v>68</v>
      </c>
      <c r="D7" s="3" t="s">
        <v>69</v>
      </c>
      <c r="E7" s="3" t="s">
        <v>70</v>
      </c>
      <c r="F7" s="3" t="s">
        <v>71</v>
      </c>
      <c r="G7" s="3" t="s">
        <v>72</v>
      </c>
      <c r="H7" s="3" t="s">
        <v>73</v>
      </c>
      <c r="I7" s="4" t="s">
        <v>3</v>
      </c>
      <c r="J7" s="4" t="s">
        <v>74</v>
      </c>
      <c r="K7" s="4" t="s">
        <v>58</v>
      </c>
      <c r="L7" s="4" t="s">
        <v>12</v>
      </c>
      <c r="M7" s="3"/>
      <c r="N7" s="3"/>
      <c r="O7" s="3"/>
      <c r="P7" s="5"/>
      <c r="Q7" s="3"/>
    </row>
    <row r="8" spans="1:17" ht="67.95" customHeight="1">
      <c r="A8" s="4" t="s">
        <v>75</v>
      </c>
      <c r="B8" s="3" t="s">
        <v>13</v>
      </c>
      <c r="C8" s="3" t="s">
        <v>76</v>
      </c>
      <c r="D8" s="3" t="s">
        <v>77</v>
      </c>
      <c r="E8" s="3" t="s">
        <v>70</v>
      </c>
      <c r="F8" s="3" t="s">
        <v>78</v>
      </c>
      <c r="G8" s="3" t="s">
        <v>79</v>
      </c>
      <c r="H8" s="3" t="s">
        <v>80</v>
      </c>
      <c r="I8" s="4" t="s">
        <v>3</v>
      </c>
      <c r="J8" s="4" t="s">
        <v>81</v>
      </c>
      <c r="K8" s="4" t="s">
        <v>58</v>
      </c>
      <c r="L8" s="4" t="s">
        <v>12</v>
      </c>
      <c r="M8" s="3"/>
      <c r="N8" s="3"/>
      <c r="O8" s="3"/>
      <c r="P8" s="5"/>
      <c r="Q8" s="3"/>
    </row>
    <row r="9" spans="1:17" ht="67.95" customHeight="1">
      <c r="A9" s="4" t="s">
        <v>82</v>
      </c>
      <c r="B9" s="3" t="s">
        <v>13</v>
      </c>
      <c r="C9" s="3" t="s">
        <v>76</v>
      </c>
      <c r="D9" s="3" t="s">
        <v>83</v>
      </c>
      <c r="E9" s="3" t="s">
        <v>84</v>
      </c>
      <c r="F9" s="3" t="s">
        <v>85</v>
      </c>
      <c r="G9" s="3" t="s">
        <v>86</v>
      </c>
      <c r="H9" s="3" t="s">
        <v>87</v>
      </c>
      <c r="I9" s="4" t="s">
        <v>4</v>
      </c>
      <c r="J9" s="4" t="s">
        <v>88</v>
      </c>
      <c r="K9" s="4" t="s">
        <v>58</v>
      </c>
      <c r="L9" s="4" t="s">
        <v>12</v>
      </c>
      <c r="M9" s="3"/>
      <c r="N9" s="3"/>
      <c r="O9" s="3"/>
      <c r="P9" s="5"/>
      <c r="Q9" s="3"/>
    </row>
    <row r="10" spans="1:17" ht="67.95" customHeight="1">
      <c r="A10" s="4" t="s">
        <v>89</v>
      </c>
      <c r="B10" s="3" t="s">
        <v>13</v>
      </c>
      <c r="C10" s="3" t="s">
        <v>68</v>
      </c>
      <c r="D10" s="3" t="s">
        <v>90</v>
      </c>
      <c r="E10" s="3" t="s">
        <v>91</v>
      </c>
      <c r="F10" s="3" t="s">
        <v>92</v>
      </c>
      <c r="G10" s="3" t="s">
        <v>93</v>
      </c>
      <c r="H10" s="3" t="s">
        <v>94</v>
      </c>
      <c r="I10" s="4" t="s">
        <v>4</v>
      </c>
      <c r="J10" s="4" t="s">
        <v>81</v>
      </c>
      <c r="K10" s="4" t="s">
        <v>58</v>
      </c>
      <c r="L10" s="4" t="s">
        <v>12</v>
      </c>
      <c r="M10" s="3"/>
      <c r="N10" s="3"/>
      <c r="O10" s="3"/>
      <c r="P10" s="5"/>
      <c r="Q10" s="3"/>
    </row>
    <row r="11" spans="1:17" ht="67.95" customHeight="1">
      <c r="A11" s="4" t="s">
        <v>95</v>
      </c>
      <c r="B11" s="3" t="s">
        <v>13</v>
      </c>
      <c r="C11" s="3" t="s">
        <v>96</v>
      </c>
      <c r="D11" s="3" t="s">
        <v>97</v>
      </c>
      <c r="E11" s="3" t="s">
        <v>98</v>
      </c>
      <c r="F11" s="3" t="s">
        <v>99</v>
      </c>
      <c r="G11" s="3" t="s">
        <v>100</v>
      </c>
      <c r="H11" s="3" t="s">
        <v>101</v>
      </c>
      <c r="I11" s="4" t="s">
        <v>4</v>
      </c>
      <c r="J11" s="4" t="s">
        <v>88</v>
      </c>
      <c r="K11" s="4" t="s">
        <v>58</v>
      </c>
      <c r="L11" s="4" t="s">
        <v>12</v>
      </c>
      <c r="M11" s="3"/>
      <c r="N11" s="3"/>
      <c r="O11" s="3"/>
      <c r="P11" s="5"/>
      <c r="Q11" s="3"/>
    </row>
    <row r="12" spans="1:17" ht="67.95" customHeight="1">
      <c r="A12" s="4" t="s">
        <v>102</v>
      </c>
      <c r="B12" s="3" t="s">
        <v>15</v>
      </c>
      <c r="C12" s="3" t="s">
        <v>103</v>
      </c>
      <c r="D12" s="3" t="s">
        <v>104</v>
      </c>
      <c r="E12" s="3" t="s">
        <v>105</v>
      </c>
      <c r="F12" s="3" t="s">
        <v>106</v>
      </c>
      <c r="G12" s="3" t="s">
        <v>107</v>
      </c>
      <c r="H12" s="3" t="s">
        <v>108</v>
      </c>
      <c r="I12" s="4" t="s">
        <v>4</v>
      </c>
      <c r="J12" s="4" t="s">
        <v>109</v>
      </c>
      <c r="K12" s="4" t="s">
        <v>58</v>
      </c>
      <c r="L12" s="4" t="s">
        <v>12</v>
      </c>
      <c r="M12" s="3"/>
      <c r="N12" s="3"/>
      <c r="O12" s="3"/>
      <c r="P12" s="5"/>
      <c r="Q12" s="3"/>
    </row>
    <row r="13" spans="1:17" ht="67.95" customHeight="1">
      <c r="A13" s="4" t="s">
        <v>110</v>
      </c>
      <c r="B13" s="3" t="s">
        <v>15</v>
      </c>
      <c r="C13" s="3" t="s">
        <v>111</v>
      </c>
      <c r="D13" s="3" t="s">
        <v>112</v>
      </c>
      <c r="E13" s="3" t="s">
        <v>113</v>
      </c>
      <c r="F13" s="3" t="s">
        <v>114</v>
      </c>
      <c r="G13" s="3" t="s">
        <v>115</v>
      </c>
      <c r="H13" s="3" t="s">
        <v>116</v>
      </c>
      <c r="I13" s="4" t="s">
        <v>3</v>
      </c>
      <c r="J13" s="4" t="s">
        <v>74</v>
      </c>
      <c r="K13" s="4" t="s">
        <v>58</v>
      </c>
      <c r="L13" s="4" t="s">
        <v>12</v>
      </c>
      <c r="M13" s="3"/>
      <c r="N13" s="3"/>
      <c r="O13" s="3"/>
      <c r="P13" s="5"/>
      <c r="Q13" s="3"/>
    </row>
    <row r="14" spans="1:17" ht="67.95" customHeight="1">
      <c r="A14" s="4" t="s">
        <v>117</v>
      </c>
      <c r="B14" s="3" t="s">
        <v>15</v>
      </c>
      <c r="C14" s="3" t="s">
        <v>118</v>
      </c>
      <c r="D14" s="3" t="s">
        <v>119</v>
      </c>
      <c r="E14" s="3" t="s">
        <v>113</v>
      </c>
      <c r="F14" s="3" t="s">
        <v>120</v>
      </c>
      <c r="G14" s="3" t="s">
        <v>121</v>
      </c>
      <c r="H14" s="3" t="s">
        <v>122</v>
      </c>
      <c r="I14" s="4" t="s">
        <v>3</v>
      </c>
      <c r="J14" s="4" t="s">
        <v>123</v>
      </c>
      <c r="K14" s="4" t="s">
        <v>58</v>
      </c>
      <c r="L14" s="4" t="s">
        <v>12</v>
      </c>
      <c r="M14" s="3"/>
      <c r="N14" s="3"/>
      <c r="O14" s="3"/>
      <c r="P14" s="5"/>
      <c r="Q14" s="3"/>
    </row>
    <row r="15" spans="1:17" ht="67.95" customHeight="1">
      <c r="A15" s="4" t="s">
        <v>124</v>
      </c>
      <c r="B15" s="3" t="s">
        <v>15</v>
      </c>
      <c r="C15" s="3" t="s">
        <v>125</v>
      </c>
      <c r="D15" s="3" t="s">
        <v>126</v>
      </c>
      <c r="E15" s="3" t="s">
        <v>113</v>
      </c>
      <c r="F15" s="3" t="s">
        <v>127</v>
      </c>
      <c r="G15" s="3" t="s">
        <v>128</v>
      </c>
      <c r="H15" s="3" t="s">
        <v>129</v>
      </c>
      <c r="I15" s="4" t="s">
        <v>3</v>
      </c>
      <c r="J15" s="4" t="s">
        <v>81</v>
      </c>
      <c r="K15" s="4" t="s">
        <v>58</v>
      </c>
      <c r="L15" s="4" t="s">
        <v>12</v>
      </c>
      <c r="M15" s="3"/>
      <c r="N15" s="3"/>
      <c r="O15" s="3"/>
      <c r="P15" s="5"/>
      <c r="Q15" s="3"/>
    </row>
    <row r="16" spans="1:17" ht="67.95" customHeight="1">
      <c r="A16" s="4" t="s">
        <v>130</v>
      </c>
      <c r="B16" s="3" t="s">
        <v>15</v>
      </c>
      <c r="C16" s="3" t="s">
        <v>131</v>
      </c>
      <c r="D16" s="3" t="s">
        <v>132</v>
      </c>
      <c r="E16" s="3" t="s">
        <v>113</v>
      </c>
      <c r="F16" s="3" t="s">
        <v>133</v>
      </c>
      <c r="G16" s="3" t="s">
        <v>134</v>
      </c>
      <c r="H16" s="3" t="s">
        <v>135</v>
      </c>
      <c r="I16" s="4" t="s">
        <v>4</v>
      </c>
      <c r="J16" s="4" t="s">
        <v>81</v>
      </c>
      <c r="K16" s="4" t="s">
        <v>58</v>
      </c>
      <c r="L16" s="4" t="s">
        <v>12</v>
      </c>
      <c r="M16" s="3"/>
      <c r="N16" s="3"/>
      <c r="O16" s="3"/>
      <c r="P16" s="5"/>
      <c r="Q16" s="3"/>
    </row>
    <row r="17" spans="1:17" ht="67.95" customHeight="1">
      <c r="A17" s="4" t="s">
        <v>136</v>
      </c>
      <c r="B17" s="3" t="s">
        <v>15</v>
      </c>
      <c r="C17" s="3" t="s">
        <v>137</v>
      </c>
      <c r="D17" s="3" t="s">
        <v>138</v>
      </c>
      <c r="E17" s="3" t="s">
        <v>113</v>
      </c>
      <c r="F17" s="3" t="s">
        <v>139</v>
      </c>
      <c r="G17" s="3" t="s">
        <v>140</v>
      </c>
      <c r="H17" s="3" t="s">
        <v>141</v>
      </c>
      <c r="I17" s="4" t="s">
        <v>4</v>
      </c>
      <c r="J17" s="4" t="s">
        <v>81</v>
      </c>
      <c r="K17" s="4" t="s">
        <v>58</v>
      </c>
      <c r="L17" s="4" t="s">
        <v>12</v>
      </c>
      <c r="M17" s="3"/>
      <c r="N17" s="3"/>
      <c r="O17" s="3"/>
      <c r="P17" s="5"/>
      <c r="Q17" s="3"/>
    </row>
    <row r="18" spans="1:17" ht="67.95" customHeight="1">
      <c r="A18" s="4" t="s">
        <v>142</v>
      </c>
      <c r="B18" s="3" t="s">
        <v>15</v>
      </c>
      <c r="C18" s="3" t="s">
        <v>137</v>
      </c>
      <c r="D18" s="3" t="s">
        <v>143</v>
      </c>
      <c r="E18" s="3" t="s">
        <v>113</v>
      </c>
      <c r="F18" s="3" t="s">
        <v>144</v>
      </c>
      <c r="G18" s="3" t="s">
        <v>145</v>
      </c>
      <c r="H18" s="3" t="s">
        <v>146</v>
      </c>
      <c r="I18" s="4" t="s">
        <v>4</v>
      </c>
      <c r="J18" s="4" t="s">
        <v>88</v>
      </c>
      <c r="K18" s="4" t="s">
        <v>58</v>
      </c>
      <c r="L18" s="4" t="s">
        <v>12</v>
      </c>
      <c r="M18" s="3"/>
      <c r="N18" s="3"/>
      <c r="O18" s="3"/>
      <c r="P18" s="5"/>
      <c r="Q18" s="3"/>
    </row>
    <row r="19" spans="1:17" ht="67.95" customHeight="1">
      <c r="A19" s="4" t="s">
        <v>147</v>
      </c>
      <c r="B19" s="3" t="s">
        <v>15</v>
      </c>
      <c r="C19" s="3" t="s">
        <v>148</v>
      </c>
      <c r="D19" s="3" t="s">
        <v>149</v>
      </c>
      <c r="E19" s="3" t="s">
        <v>113</v>
      </c>
      <c r="F19" s="3" t="s">
        <v>150</v>
      </c>
      <c r="G19" s="3" t="s">
        <v>151</v>
      </c>
      <c r="H19" s="3" t="s">
        <v>152</v>
      </c>
      <c r="I19" s="4" t="s">
        <v>4</v>
      </c>
      <c r="J19" s="4" t="s">
        <v>74</v>
      </c>
      <c r="K19" s="4" t="s">
        <v>58</v>
      </c>
      <c r="L19" s="4" t="s">
        <v>12</v>
      </c>
      <c r="M19" s="3"/>
      <c r="N19" s="3"/>
      <c r="O19" s="3"/>
      <c r="P19" s="5"/>
      <c r="Q19" s="3"/>
    </row>
    <row r="20" spans="1:17" ht="67.95" customHeight="1">
      <c r="A20" s="4" t="s">
        <v>153</v>
      </c>
      <c r="B20" s="3" t="s">
        <v>15</v>
      </c>
      <c r="C20" s="3" t="s">
        <v>148</v>
      </c>
      <c r="D20" s="3" t="s">
        <v>154</v>
      </c>
      <c r="E20" s="3" t="s">
        <v>113</v>
      </c>
      <c r="F20" s="3" t="s">
        <v>155</v>
      </c>
      <c r="G20" s="3" t="s">
        <v>156</v>
      </c>
      <c r="H20" s="3" t="s">
        <v>157</v>
      </c>
      <c r="I20" s="4" t="s">
        <v>18</v>
      </c>
      <c r="J20" s="4" t="s">
        <v>66</v>
      </c>
      <c r="K20" s="4" t="s">
        <v>58</v>
      </c>
      <c r="L20" s="4" t="s">
        <v>12</v>
      </c>
      <c r="M20" s="3"/>
      <c r="N20" s="3"/>
      <c r="O20" s="3"/>
      <c r="P20" s="5"/>
      <c r="Q20" s="3"/>
    </row>
    <row r="21" spans="1:17" ht="67.95" customHeight="1">
      <c r="A21" s="4" t="s">
        <v>158</v>
      </c>
      <c r="B21" s="3" t="s">
        <v>15</v>
      </c>
      <c r="C21" s="3" t="s">
        <v>159</v>
      </c>
      <c r="D21" s="3" t="s">
        <v>160</v>
      </c>
      <c r="E21" s="3" t="s">
        <v>113</v>
      </c>
      <c r="F21" s="3" t="s">
        <v>161</v>
      </c>
      <c r="G21" s="3" t="s">
        <v>162</v>
      </c>
      <c r="H21" s="3" t="s">
        <v>163</v>
      </c>
      <c r="I21" s="4" t="s">
        <v>3</v>
      </c>
      <c r="J21" s="4" t="s">
        <v>123</v>
      </c>
      <c r="K21" s="4" t="s">
        <v>58</v>
      </c>
      <c r="L21" s="4" t="s">
        <v>12</v>
      </c>
      <c r="M21" s="3"/>
      <c r="N21" s="3"/>
      <c r="O21" s="3"/>
      <c r="P21" s="5"/>
      <c r="Q21" s="3"/>
    </row>
    <row r="22" spans="1:17" ht="67.95" customHeight="1">
      <c r="A22" s="4" t="s">
        <v>164</v>
      </c>
      <c r="B22" s="3" t="s">
        <v>15</v>
      </c>
      <c r="C22" s="3" t="s">
        <v>165</v>
      </c>
      <c r="D22" s="3" t="s">
        <v>166</v>
      </c>
      <c r="E22" s="3" t="s">
        <v>167</v>
      </c>
      <c r="F22" s="3" t="s">
        <v>168</v>
      </c>
      <c r="G22" s="3" t="s">
        <v>169</v>
      </c>
      <c r="H22" s="3" t="s">
        <v>170</v>
      </c>
      <c r="I22" s="4" t="s">
        <v>3</v>
      </c>
      <c r="J22" s="4" t="s">
        <v>123</v>
      </c>
      <c r="K22" s="4" t="s">
        <v>58</v>
      </c>
      <c r="L22" s="4" t="s">
        <v>12</v>
      </c>
      <c r="M22" s="3"/>
      <c r="N22" s="3"/>
      <c r="O22" s="3"/>
      <c r="P22" s="5"/>
      <c r="Q22" s="3"/>
    </row>
    <row r="23" spans="1:17" ht="67.95" customHeight="1">
      <c r="A23" s="4" t="s">
        <v>171</v>
      </c>
      <c r="B23" s="3" t="s">
        <v>15</v>
      </c>
      <c r="C23" s="3" t="s">
        <v>172</v>
      </c>
      <c r="D23" s="3" t="s">
        <v>173</v>
      </c>
      <c r="E23" s="3" t="s">
        <v>174</v>
      </c>
      <c r="F23" s="3" t="s">
        <v>175</v>
      </c>
      <c r="G23" s="3" t="s">
        <v>176</v>
      </c>
      <c r="H23" s="3" t="s">
        <v>177</v>
      </c>
      <c r="I23" s="4" t="s">
        <v>3</v>
      </c>
      <c r="J23" s="4" t="s">
        <v>66</v>
      </c>
      <c r="K23" s="4" t="s">
        <v>58</v>
      </c>
      <c r="L23" s="4" t="s">
        <v>12</v>
      </c>
      <c r="M23" s="3"/>
      <c r="N23" s="3"/>
      <c r="O23" s="3"/>
      <c r="P23" s="5"/>
      <c r="Q23" s="3"/>
    </row>
    <row r="24" spans="1:17" ht="67.95" customHeight="1">
      <c r="A24" s="4" t="s">
        <v>178</v>
      </c>
      <c r="B24" s="3" t="s">
        <v>15</v>
      </c>
      <c r="C24" s="3" t="s">
        <v>172</v>
      </c>
      <c r="D24" s="3" t="s">
        <v>179</v>
      </c>
      <c r="E24" s="3" t="s">
        <v>180</v>
      </c>
      <c r="F24" s="3" t="s">
        <v>181</v>
      </c>
      <c r="G24" s="3" t="s">
        <v>182</v>
      </c>
      <c r="H24" s="3" t="s">
        <v>183</v>
      </c>
      <c r="I24" s="4" t="s">
        <v>3</v>
      </c>
      <c r="J24" s="4" t="s">
        <v>66</v>
      </c>
      <c r="K24" s="4" t="s">
        <v>58</v>
      </c>
      <c r="L24" s="4" t="s">
        <v>12</v>
      </c>
      <c r="M24" s="3"/>
      <c r="N24" s="3"/>
      <c r="O24" s="3"/>
      <c r="P24" s="5"/>
      <c r="Q24" s="3"/>
    </row>
    <row r="25" spans="1:17" ht="67.95" customHeight="1">
      <c r="A25" s="4" t="s">
        <v>184</v>
      </c>
      <c r="B25" s="3" t="s">
        <v>17</v>
      </c>
      <c r="C25" s="3" t="s">
        <v>185</v>
      </c>
      <c r="D25" s="3" t="s">
        <v>186</v>
      </c>
      <c r="E25" s="3" t="s">
        <v>113</v>
      </c>
      <c r="F25" s="3" t="s">
        <v>187</v>
      </c>
      <c r="G25" s="3" t="s">
        <v>188</v>
      </c>
      <c r="H25" s="3" t="s">
        <v>189</v>
      </c>
      <c r="I25" s="4" t="s">
        <v>3</v>
      </c>
      <c r="J25" s="4" t="s">
        <v>74</v>
      </c>
      <c r="K25" s="4" t="s">
        <v>58</v>
      </c>
      <c r="L25" s="4" t="s">
        <v>12</v>
      </c>
      <c r="M25" s="3"/>
      <c r="N25" s="3"/>
      <c r="O25" s="3"/>
      <c r="P25" s="5"/>
      <c r="Q25" s="3"/>
    </row>
    <row r="26" spans="1:17" ht="67.95" customHeight="1">
      <c r="A26" s="4" t="s">
        <v>190</v>
      </c>
      <c r="B26" s="3" t="s">
        <v>17</v>
      </c>
      <c r="C26" s="3" t="s">
        <v>185</v>
      </c>
      <c r="D26" s="3" t="s">
        <v>191</v>
      </c>
      <c r="E26" s="3" t="s">
        <v>113</v>
      </c>
      <c r="F26" s="3" t="s">
        <v>192</v>
      </c>
      <c r="G26" s="3" t="s">
        <v>193</v>
      </c>
      <c r="H26" s="3" t="s">
        <v>194</v>
      </c>
      <c r="I26" s="4" t="s">
        <v>3</v>
      </c>
      <c r="J26" s="4" t="s">
        <v>74</v>
      </c>
      <c r="K26" s="4" t="s">
        <v>58</v>
      </c>
      <c r="L26" s="4" t="s">
        <v>12</v>
      </c>
      <c r="M26" s="3"/>
      <c r="N26" s="3"/>
      <c r="O26" s="3"/>
      <c r="P26" s="5"/>
      <c r="Q26" s="3"/>
    </row>
    <row r="27" spans="1:17" ht="67.95" customHeight="1">
      <c r="A27" s="4" t="s">
        <v>195</v>
      </c>
      <c r="B27" s="3" t="s">
        <v>17</v>
      </c>
      <c r="C27" s="3" t="s">
        <v>185</v>
      </c>
      <c r="D27" s="3" t="s">
        <v>196</v>
      </c>
      <c r="E27" s="3" t="s">
        <v>113</v>
      </c>
      <c r="F27" s="3" t="s">
        <v>197</v>
      </c>
      <c r="G27" s="3" t="s">
        <v>198</v>
      </c>
      <c r="H27" s="3" t="s">
        <v>199</v>
      </c>
      <c r="I27" s="4" t="s">
        <v>4</v>
      </c>
      <c r="J27" s="4" t="s">
        <v>74</v>
      </c>
      <c r="K27" s="4" t="s">
        <v>58</v>
      </c>
      <c r="L27" s="4" t="s">
        <v>12</v>
      </c>
      <c r="M27" s="3"/>
      <c r="N27" s="3"/>
      <c r="O27" s="3"/>
      <c r="P27" s="5"/>
      <c r="Q27" s="3"/>
    </row>
    <row r="28" spans="1:17" ht="67.95" customHeight="1">
      <c r="A28" s="4" t="s">
        <v>200</v>
      </c>
      <c r="B28" s="3" t="s">
        <v>17</v>
      </c>
      <c r="C28" s="3" t="s">
        <v>185</v>
      </c>
      <c r="D28" s="3" t="s">
        <v>201</v>
      </c>
      <c r="E28" s="3" t="s">
        <v>113</v>
      </c>
      <c r="F28" s="3" t="s">
        <v>202</v>
      </c>
      <c r="G28" s="3" t="s">
        <v>203</v>
      </c>
      <c r="H28" s="3" t="s">
        <v>204</v>
      </c>
      <c r="I28" s="4" t="s">
        <v>3</v>
      </c>
      <c r="J28" s="4" t="s">
        <v>74</v>
      </c>
      <c r="K28" s="4" t="s">
        <v>58</v>
      </c>
      <c r="L28" s="4" t="s">
        <v>12</v>
      </c>
      <c r="M28" s="3"/>
      <c r="N28" s="3"/>
      <c r="O28" s="3"/>
      <c r="P28" s="5"/>
      <c r="Q28" s="3"/>
    </row>
    <row r="29" spans="1:17" ht="67.95" customHeight="1">
      <c r="A29" s="4" t="s">
        <v>205</v>
      </c>
      <c r="B29" s="3" t="s">
        <v>17</v>
      </c>
      <c r="C29" s="3" t="s">
        <v>206</v>
      </c>
      <c r="D29" s="3" t="s">
        <v>207</v>
      </c>
      <c r="E29" s="3" t="s">
        <v>113</v>
      </c>
      <c r="F29" s="3" t="s">
        <v>208</v>
      </c>
      <c r="G29" s="3" t="s">
        <v>209</v>
      </c>
      <c r="H29" s="3" t="s">
        <v>210</v>
      </c>
      <c r="I29" s="4" t="s">
        <v>4</v>
      </c>
      <c r="J29" s="4" t="s">
        <v>66</v>
      </c>
      <c r="K29" s="4" t="s">
        <v>58</v>
      </c>
      <c r="L29" s="4" t="s">
        <v>12</v>
      </c>
      <c r="M29" s="3"/>
      <c r="N29" s="3"/>
      <c r="O29" s="3"/>
      <c r="P29" s="5"/>
      <c r="Q29" s="3"/>
    </row>
    <row r="30" spans="1:17" ht="67.95" customHeight="1">
      <c r="A30" s="4" t="s">
        <v>211</v>
      </c>
      <c r="B30" s="3" t="s">
        <v>17</v>
      </c>
      <c r="C30" s="3" t="s">
        <v>212</v>
      </c>
      <c r="D30" s="3" t="s">
        <v>213</v>
      </c>
      <c r="E30" s="3" t="s">
        <v>214</v>
      </c>
      <c r="F30" s="3" t="s">
        <v>215</v>
      </c>
      <c r="G30" s="3" t="s">
        <v>216</v>
      </c>
      <c r="H30" s="3" t="s">
        <v>217</v>
      </c>
      <c r="I30" s="4" t="s">
        <v>3</v>
      </c>
      <c r="J30" s="4" t="s">
        <v>74</v>
      </c>
      <c r="K30" s="4" t="s">
        <v>58</v>
      </c>
      <c r="L30" s="4" t="s">
        <v>12</v>
      </c>
      <c r="M30" s="3"/>
      <c r="N30" s="3"/>
      <c r="O30" s="3"/>
      <c r="P30" s="5"/>
      <c r="Q30" s="3"/>
    </row>
    <row r="31" spans="1:17" ht="67.95" customHeight="1">
      <c r="A31" s="4" t="s">
        <v>218</v>
      </c>
      <c r="B31" s="3" t="s">
        <v>17</v>
      </c>
      <c r="C31" s="3" t="s">
        <v>212</v>
      </c>
      <c r="D31" s="3" t="s">
        <v>219</v>
      </c>
      <c r="E31" s="3" t="s">
        <v>214</v>
      </c>
      <c r="F31" s="3" t="s">
        <v>220</v>
      </c>
      <c r="G31" s="3" t="s">
        <v>221</v>
      </c>
      <c r="H31" s="3" t="s">
        <v>222</v>
      </c>
      <c r="I31" s="4" t="s">
        <v>4</v>
      </c>
      <c r="J31" s="4" t="s">
        <v>74</v>
      </c>
      <c r="K31" s="4" t="s">
        <v>58</v>
      </c>
      <c r="L31" s="4" t="s">
        <v>12</v>
      </c>
      <c r="M31" s="3"/>
      <c r="N31" s="3"/>
      <c r="O31" s="3"/>
      <c r="P31" s="5"/>
      <c r="Q31" s="3"/>
    </row>
    <row r="32" spans="1:17" ht="67.95" customHeight="1">
      <c r="A32" s="4" t="s">
        <v>223</v>
      </c>
      <c r="B32" s="3" t="s">
        <v>17</v>
      </c>
      <c r="C32" s="3" t="s">
        <v>212</v>
      </c>
      <c r="D32" s="3" t="s">
        <v>224</v>
      </c>
      <c r="E32" s="3" t="s">
        <v>214</v>
      </c>
      <c r="F32" s="3" t="s">
        <v>225</v>
      </c>
      <c r="G32" s="3" t="s">
        <v>226</v>
      </c>
      <c r="H32" s="3" t="s">
        <v>227</v>
      </c>
      <c r="I32" s="4" t="s">
        <v>4</v>
      </c>
      <c r="J32" s="4" t="s">
        <v>81</v>
      </c>
      <c r="K32" s="4" t="s">
        <v>58</v>
      </c>
      <c r="L32" s="4" t="s">
        <v>12</v>
      </c>
      <c r="M32" s="3"/>
      <c r="N32" s="3"/>
      <c r="O32" s="3"/>
      <c r="P32" s="5"/>
      <c r="Q32" s="3"/>
    </row>
    <row r="33" spans="1:17" ht="67.95" customHeight="1">
      <c r="A33" s="4" t="s">
        <v>228</v>
      </c>
      <c r="B33" s="3" t="s">
        <v>17</v>
      </c>
      <c r="C33" s="3" t="s">
        <v>212</v>
      </c>
      <c r="D33" s="3" t="s">
        <v>229</v>
      </c>
      <c r="E33" s="3" t="s">
        <v>214</v>
      </c>
      <c r="F33" s="3" t="s">
        <v>230</v>
      </c>
      <c r="G33" s="3" t="s">
        <v>231</v>
      </c>
      <c r="H33" s="3" t="s">
        <v>232</v>
      </c>
      <c r="I33" s="4" t="s">
        <v>4</v>
      </c>
      <c r="J33" s="4" t="s">
        <v>81</v>
      </c>
      <c r="K33" s="4" t="s">
        <v>58</v>
      </c>
      <c r="L33" s="4" t="s">
        <v>12</v>
      </c>
      <c r="M33" s="3"/>
      <c r="N33" s="3"/>
      <c r="O33" s="3"/>
      <c r="P33" s="5"/>
      <c r="Q33" s="3"/>
    </row>
    <row r="34" spans="1:17" ht="67.95" customHeight="1">
      <c r="A34" s="4" t="s">
        <v>233</v>
      </c>
      <c r="B34" s="3" t="s">
        <v>17</v>
      </c>
      <c r="C34" s="3" t="s">
        <v>234</v>
      </c>
      <c r="D34" s="3" t="s">
        <v>235</v>
      </c>
      <c r="E34" s="3" t="s">
        <v>236</v>
      </c>
      <c r="F34" s="3" t="s">
        <v>237</v>
      </c>
      <c r="G34" s="3" t="s">
        <v>238</v>
      </c>
      <c r="H34" s="3" t="s">
        <v>239</v>
      </c>
      <c r="I34" s="4" t="s">
        <v>3</v>
      </c>
      <c r="J34" s="4" t="s">
        <v>123</v>
      </c>
      <c r="K34" s="4" t="s">
        <v>58</v>
      </c>
      <c r="L34" s="4" t="s">
        <v>12</v>
      </c>
      <c r="M34" s="3"/>
      <c r="N34" s="3"/>
      <c r="O34" s="3"/>
      <c r="P34" s="5"/>
      <c r="Q34" s="3"/>
    </row>
    <row r="35" spans="1:17" ht="67.95" customHeight="1">
      <c r="A35" s="4" t="s">
        <v>240</v>
      </c>
      <c r="B35" s="3" t="s">
        <v>17</v>
      </c>
      <c r="C35" s="3" t="s">
        <v>234</v>
      </c>
      <c r="D35" s="3" t="s">
        <v>241</v>
      </c>
      <c r="E35" s="3" t="s">
        <v>242</v>
      </c>
      <c r="F35" s="3" t="s">
        <v>243</v>
      </c>
      <c r="G35" s="3" t="s">
        <v>244</v>
      </c>
      <c r="H35" s="3" t="s">
        <v>245</v>
      </c>
      <c r="I35" s="4" t="s">
        <v>3</v>
      </c>
      <c r="J35" s="4" t="s">
        <v>74</v>
      </c>
      <c r="K35" s="4" t="s">
        <v>58</v>
      </c>
      <c r="L35" s="4" t="s">
        <v>12</v>
      </c>
      <c r="M35" s="3"/>
      <c r="N35" s="3"/>
      <c r="O35" s="3"/>
      <c r="P35" s="5"/>
      <c r="Q35" s="3"/>
    </row>
    <row r="36" spans="1:17" ht="67.95" customHeight="1">
      <c r="A36" s="4" t="s">
        <v>246</v>
      </c>
      <c r="B36" s="3" t="s">
        <v>17</v>
      </c>
      <c r="C36" s="3" t="s">
        <v>234</v>
      </c>
      <c r="D36" s="3" t="s">
        <v>247</v>
      </c>
      <c r="E36" s="3" t="s">
        <v>242</v>
      </c>
      <c r="F36" s="3" t="s">
        <v>248</v>
      </c>
      <c r="G36" s="3" t="s">
        <v>249</v>
      </c>
      <c r="H36" s="3" t="s">
        <v>250</v>
      </c>
      <c r="I36" s="4" t="s">
        <v>4</v>
      </c>
      <c r="J36" s="4" t="s">
        <v>81</v>
      </c>
      <c r="K36" s="4" t="s">
        <v>58</v>
      </c>
      <c r="L36" s="4" t="s">
        <v>12</v>
      </c>
      <c r="M36" s="3"/>
      <c r="N36" s="3"/>
      <c r="O36" s="3"/>
      <c r="P36" s="5"/>
      <c r="Q36" s="3"/>
    </row>
    <row r="37" spans="1:17" ht="67.95" customHeight="1">
      <c r="A37" s="4" t="s">
        <v>251</v>
      </c>
      <c r="B37" s="3" t="s">
        <v>17</v>
      </c>
      <c r="C37" s="3" t="s">
        <v>252</v>
      </c>
      <c r="D37" s="3" t="s">
        <v>253</v>
      </c>
      <c r="E37" s="3" t="s">
        <v>254</v>
      </c>
      <c r="F37" s="3" t="s">
        <v>255</v>
      </c>
      <c r="G37" s="3" t="s">
        <v>256</v>
      </c>
      <c r="H37" s="3" t="s">
        <v>257</v>
      </c>
      <c r="I37" s="4" t="s">
        <v>3</v>
      </c>
      <c r="J37" s="4" t="s">
        <v>123</v>
      </c>
      <c r="K37" s="4" t="s">
        <v>58</v>
      </c>
      <c r="L37" s="4" t="s">
        <v>12</v>
      </c>
      <c r="M37" s="3"/>
      <c r="N37" s="3"/>
      <c r="O37" s="3"/>
      <c r="P37" s="5"/>
      <c r="Q37" s="3"/>
    </row>
    <row r="38" spans="1:17" ht="67.95" customHeight="1">
      <c r="A38" s="4" t="s">
        <v>258</v>
      </c>
      <c r="B38" s="3" t="s">
        <v>17</v>
      </c>
      <c r="C38" s="3" t="s">
        <v>252</v>
      </c>
      <c r="D38" s="3" t="s">
        <v>259</v>
      </c>
      <c r="E38" s="3" t="s">
        <v>260</v>
      </c>
      <c r="F38" s="3" t="s">
        <v>261</v>
      </c>
      <c r="G38" s="3" t="s">
        <v>262</v>
      </c>
      <c r="H38" s="3" t="s">
        <v>263</v>
      </c>
      <c r="I38" s="4" t="s">
        <v>3</v>
      </c>
      <c r="J38" s="4" t="s">
        <v>74</v>
      </c>
      <c r="K38" s="4" t="s">
        <v>58</v>
      </c>
      <c r="L38" s="4" t="s">
        <v>12</v>
      </c>
      <c r="M38" s="3"/>
      <c r="N38" s="3"/>
      <c r="O38" s="3"/>
      <c r="P38" s="5"/>
      <c r="Q38" s="3"/>
    </row>
    <row r="39" spans="1:17" ht="67.95" customHeight="1">
      <c r="A39" s="4" t="s">
        <v>264</v>
      </c>
      <c r="B39" s="3" t="s">
        <v>17</v>
      </c>
      <c r="C39" s="3" t="s">
        <v>252</v>
      </c>
      <c r="D39" s="3" t="s">
        <v>265</v>
      </c>
      <c r="E39" s="3" t="s">
        <v>260</v>
      </c>
      <c r="F39" s="3" t="s">
        <v>266</v>
      </c>
      <c r="G39" s="3" t="s">
        <v>267</v>
      </c>
      <c r="H39" s="3" t="s">
        <v>268</v>
      </c>
      <c r="I39" s="4" t="s">
        <v>4</v>
      </c>
      <c r="J39" s="4" t="s">
        <v>81</v>
      </c>
      <c r="K39" s="4" t="s">
        <v>58</v>
      </c>
      <c r="L39" s="4" t="s">
        <v>12</v>
      </c>
      <c r="M39" s="3"/>
      <c r="N39" s="3"/>
      <c r="O39" s="3"/>
      <c r="P39" s="5"/>
      <c r="Q39" s="3"/>
    </row>
    <row r="40" spans="1:17" ht="67.95" customHeight="1">
      <c r="A40" s="4" t="s">
        <v>269</v>
      </c>
      <c r="B40" s="3" t="s">
        <v>17</v>
      </c>
      <c r="C40" s="3" t="s">
        <v>270</v>
      </c>
      <c r="D40" s="3" t="s">
        <v>271</v>
      </c>
      <c r="E40" s="3" t="s">
        <v>113</v>
      </c>
      <c r="F40" s="3" t="s">
        <v>272</v>
      </c>
      <c r="G40" s="3" t="s">
        <v>273</v>
      </c>
      <c r="H40" s="3" t="s">
        <v>274</v>
      </c>
      <c r="I40" s="4" t="s">
        <v>4</v>
      </c>
      <c r="J40" s="4" t="s">
        <v>123</v>
      </c>
      <c r="K40" s="4" t="s">
        <v>58</v>
      </c>
      <c r="L40" s="4" t="s">
        <v>12</v>
      </c>
      <c r="M40" s="3"/>
      <c r="N40" s="3"/>
      <c r="O40" s="3"/>
      <c r="P40" s="5"/>
      <c r="Q40" s="3"/>
    </row>
    <row r="41" spans="1:17" ht="67.95" customHeight="1">
      <c r="A41" s="4" t="s">
        <v>275</v>
      </c>
      <c r="B41" s="3" t="s">
        <v>17</v>
      </c>
      <c r="C41" s="3" t="s">
        <v>276</v>
      </c>
      <c r="D41" s="3" t="s">
        <v>277</v>
      </c>
      <c r="E41" s="3" t="s">
        <v>278</v>
      </c>
      <c r="F41" s="3" t="s">
        <v>279</v>
      </c>
      <c r="G41" s="3" t="s">
        <v>280</v>
      </c>
      <c r="H41" s="3" t="s">
        <v>281</v>
      </c>
      <c r="I41" s="4" t="s">
        <v>3</v>
      </c>
      <c r="J41" s="4" t="s">
        <v>66</v>
      </c>
      <c r="K41" s="4" t="s">
        <v>58</v>
      </c>
      <c r="L41" s="4" t="s">
        <v>12</v>
      </c>
      <c r="M41" s="3"/>
      <c r="N41" s="3"/>
      <c r="O41" s="3"/>
      <c r="P41" s="5"/>
      <c r="Q41" s="3"/>
    </row>
    <row r="42" spans="1:17" ht="67.95" customHeight="1">
      <c r="A42" s="4" t="s">
        <v>282</v>
      </c>
      <c r="B42" s="3" t="s">
        <v>17</v>
      </c>
      <c r="C42" s="3" t="s">
        <v>283</v>
      </c>
      <c r="D42" s="3" t="s">
        <v>284</v>
      </c>
      <c r="E42" s="3" t="s">
        <v>285</v>
      </c>
      <c r="F42" s="3" t="s">
        <v>286</v>
      </c>
      <c r="G42" s="3" t="s">
        <v>287</v>
      </c>
      <c r="H42" s="3" t="s">
        <v>288</v>
      </c>
      <c r="I42" s="4" t="s">
        <v>4</v>
      </c>
      <c r="J42" s="4" t="s">
        <v>88</v>
      </c>
      <c r="K42" s="4" t="s">
        <v>58</v>
      </c>
      <c r="L42" s="4" t="s">
        <v>12</v>
      </c>
      <c r="M42" s="3"/>
      <c r="N42" s="3"/>
      <c r="O42" s="3"/>
      <c r="P42" s="5"/>
      <c r="Q42" s="3"/>
    </row>
    <row r="43" spans="1:17" ht="67.95" customHeight="1">
      <c r="A43" s="4" t="s">
        <v>289</v>
      </c>
      <c r="B43" s="3" t="s">
        <v>20</v>
      </c>
      <c r="C43" s="3" t="s">
        <v>290</v>
      </c>
      <c r="D43" s="3" t="s">
        <v>291</v>
      </c>
      <c r="E43" s="3" t="s">
        <v>113</v>
      </c>
      <c r="F43" s="3" t="s">
        <v>292</v>
      </c>
      <c r="G43" s="3" t="s">
        <v>188</v>
      </c>
      <c r="H43" s="3" t="s">
        <v>293</v>
      </c>
      <c r="I43" s="4" t="s">
        <v>3</v>
      </c>
      <c r="J43" s="4" t="s">
        <v>74</v>
      </c>
      <c r="K43" s="4" t="s">
        <v>58</v>
      </c>
      <c r="L43" s="4" t="s">
        <v>12</v>
      </c>
      <c r="M43" s="3"/>
      <c r="N43" s="3"/>
      <c r="O43" s="3"/>
      <c r="P43" s="5"/>
      <c r="Q43" s="3"/>
    </row>
    <row r="44" spans="1:17" ht="67.95" customHeight="1">
      <c r="A44" s="4" t="s">
        <v>294</v>
      </c>
      <c r="B44" s="3" t="s">
        <v>20</v>
      </c>
      <c r="C44" s="3" t="s">
        <v>295</v>
      </c>
      <c r="D44" s="3" t="s">
        <v>296</v>
      </c>
      <c r="E44" s="3" t="s">
        <v>297</v>
      </c>
      <c r="F44" s="3" t="s">
        <v>298</v>
      </c>
      <c r="G44" s="3" t="s">
        <v>299</v>
      </c>
      <c r="H44" s="3" t="s">
        <v>300</v>
      </c>
      <c r="I44" s="4" t="s">
        <v>3</v>
      </c>
      <c r="J44" s="4" t="s">
        <v>66</v>
      </c>
      <c r="K44" s="4" t="s">
        <v>58</v>
      </c>
      <c r="L44" s="4" t="s">
        <v>12</v>
      </c>
      <c r="M44" s="3"/>
      <c r="N44" s="3"/>
      <c r="O44" s="3"/>
      <c r="P44" s="5"/>
      <c r="Q44" s="3"/>
    </row>
    <row r="45" spans="1:17" ht="67.95" customHeight="1">
      <c r="A45" s="4" t="s">
        <v>301</v>
      </c>
      <c r="B45" s="3" t="s">
        <v>20</v>
      </c>
      <c r="C45" s="3" t="s">
        <v>302</v>
      </c>
      <c r="D45" s="3" t="s">
        <v>303</v>
      </c>
      <c r="E45" s="3" t="s">
        <v>304</v>
      </c>
      <c r="F45" s="3" t="s">
        <v>305</v>
      </c>
      <c r="G45" s="3" t="s">
        <v>306</v>
      </c>
      <c r="H45" s="3" t="s">
        <v>307</v>
      </c>
      <c r="I45" s="4" t="s">
        <v>3</v>
      </c>
      <c r="J45" s="4" t="s">
        <v>123</v>
      </c>
      <c r="K45" s="4" t="s">
        <v>58</v>
      </c>
      <c r="L45" s="4" t="s">
        <v>12</v>
      </c>
      <c r="M45" s="3"/>
      <c r="N45" s="3"/>
      <c r="O45" s="3"/>
      <c r="P45" s="5"/>
      <c r="Q45" s="3"/>
    </row>
    <row r="46" spans="1:17" ht="67.95" customHeight="1">
      <c r="A46" s="4" t="s">
        <v>308</v>
      </c>
      <c r="B46" s="3" t="s">
        <v>20</v>
      </c>
      <c r="C46" s="3" t="s">
        <v>309</v>
      </c>
      <c r="D46" s="3" t="s">
        <v>310</v>
      </c>
      <c r="E46" s="3" t="s">
        <v>311</v>
      </c>
      <c r="F46" s="3" t="s">
        <v>312</v>
      </c>
      <c r="G46" s="3" t="s">
        <v>306</v>
      </c>
      <c r="H46" s="3" t="s">
        <v>313</v>
      </c>
      <c r="I46" s="4" t="s">
        <v>3</v>
      </c>
      <c r="J46" s="4" t="s">
        <v>74</v>
      </c>
      <c r="K46" s="4" t="s">
        <v>58</v>
      </c>
      <c r="L46" s="4" t="s">
        <v>12</v>
      </c>
      <c r="M46" s="3"/>
      <c r="N46" s="3"/>
      <c r="O46" s="3"/>
      <c r="P46" s="5"/>
      <c r="Q46" s="3"/>
    </row>
    <row r="47" spans="1:17" ht="67.95" customHeight="1">
      <c r="A47" s="4" t="s">
        <v>314</v>
      </c>
      <c r="B47" s="3" t="s">
        <v>20</v>
      </c>
      <c r="C47" s="3" t="s">
        <v>315</v>
      </c>
      <c r="D47" s="3" t="s">
        <v>316</v>
      </c>
      <c r="E47" s="3" t="s">
        <v>317</v>
      </c>
      <c r="F47" s="3" t="s">
        <v>318</v>
      </c>
      <c r="G47" s="3" t="s">
        <v>319</v>
      </c>
      <c r="H47" s="3" t="s">
        <v>320</v>
      </c>
      <c r="I47" s="4" t="s">
        <v>4</v>
      </c>
      <c r="J47" s="4" t="s">
        <v>74</v>
      </c>
      <c r="K47" s="4" t="s">
        <v>58</v>
      </c>
      <c r="L47" s="4" t="s">
        <v>12</v>
      </c>
      <c r="M47" s="3"/>
      <c r="N47" s="3"/>
      <c r="O47" s="3"/>
      <c r="P47" s="5"/>
      <c r="Q47" s="3"/>
    </row>
    <row r="48" spans="1:17" ht="67.95" customHeight="1">
      <c r="A48" s="4" t="s">
        <v>321</v>
      </c>
      <c r="B48" s="3" t="s">
        <v>20</v>
      </c>
      <c r="C48" s="3" t="s">
        <v>322</v>
      </c>
      <c r="D48" s="3" t="s">
        <v>323</v>
      </c>
      <c r="E48" s="3" t="s">
        <v>324</v>
      </c>
      <c r="F48" s="3" t="s">
        <v>325</v>
      </c>
      <c r="G48" s="3" t="s">
        <v>326</v>
      </c>
      <c r="H48" s="3" t="s">
        <v>327</v>
      </c>
      <c r="I48" s="4" t="s">
        <v>3</v>
      </c>
      <c r="J48" s="4" t="s">
        <v>66</v>
      </c>
      <c r="K48" s="4" t="s">
        <v>58</v>
      </c>
      <c r="L48" s="4" t="s">
        <v>12</v>
      </c>
      <c r="M48" s="3"/>
      <c r="N48" s="3"/>
      <c r="O48" s="3"/>
      <c r="P48" s="5"/>
      <c r="Q48" s="3"/>
    </row>
    <row r="49" spans="1:17" ht="67.95" customHeight="1">
      <c r="A49" s="4" t="s">
        <v>328</v>
      </c>
      <c r="B49" s="3" t="s">
        <v>20</v>
      </c>
      <c r="C49" s="3" t="s">
        <v>137</v>
      </c>
      <c r="D49" s="3" t="s">
        <v>329</v>
      </c>
      <c r="E49" s="3" t="s">
        <v>330</v>
      </c>
      <c r="F49" s="3" t="s">
        <v>331</v>
      </c>
      <c r="G49" s="3" t="s">
        <v>332</v>
      </c>
      <c r="H49" s="3" t="s">
        <v>333</v>
      </c>
      <c r="I49" s="4" t="s">
        <v>3</v>
      </c>
      <c r="J49" s="4" t="s">
        <v>66</v>
      </c>
      <c r="K49" s="4" t="s">
        <v>58</v>
      </c>
      <c r="L49" s="4" t="s">
        <v>12</v>
      </c>
      <c r="M49" s="3"/>
      <c r="N49" s="3"/>
      <c r="O49" s="3"/>
      <c r="P49" s="5"/>
      <c r="Q49" s="3"/>
    </row>
    <row r="50" spans="1:17" ht="67.95" customHeight="1">
      <c r="A50" s="4" t="s">
        <v>334</v>
      </c>
      <c r="B50" s="3" t="s">
        <v>20</v>
      </c>
      <c r="C50" s="3" t="s">
        <v>335</v>
      </c>
      <c r="D50" s="3" t="s">
        <v>336</v>
      </c>
      <c r="E50" s="3" t="s">
        <v>337</v>
      </c>
      <c r="F50" s="3" t="s">
        <v>338</v>
      </c>
      <c r="G50" s="3" t="s">
        <v>339</v>
      </c>
      <c r="H50" s="3" t="s">
        <v>340</v>
      </c>
      <c r="I50" s="4" t="s">
        <v>3</v>
      </c>
      <c r="J50" s="4" t="s">
        <v>66</v>
      </c>
      <c r="K50" s="4" t="s">
        <v>58</v>
      </c>
      <c r="L50" s="4" t="s">
        <v>12</v>
      </c>
      <c r="M50" s="3"/>
      <c r="N50" s="3"/>
      <c r="O50" s="3"/>
      <c r="P50" s="5"/>
      <c r="Q50" s="3"/>
    </row>
    <row r="51" spans="1:17" ht="67.95" customHeight="1">
      <c r="A51" s="4" t="s">
        <v>341</v>
      </c>
      <c r="B51" s="3" t="s">
        <v>20</v>
      </c>
      <c r="C51" s="3" t="s">
        <v>335</v>
      </c>
      <c r="D51" s="3" t="s">
        <v>342</v>
      </c>
      <c r="E51" s="3" t="s">
        <v>343</v>
      </c>
      <c r="F51" s="3" t="s">
        <v>344</v>
      </c>
      <c r="G51" s="3" t="s">
        <v>345</v>
      </c>
      <c r="H51" s="3" t="s">
        <v>346</v>
      </c>
      <c r="I51" s="4" t="s">
        <v>4</v>
      </c>
      <c r="J51" s="4" t="s">
        <v>74</v>
      </c>
      <c r="K51" s="4" t="s">
        <v>58</v>
      </c>
      <c r="L51" s="4" t="s">
        <v>12</v>
      </c>
      <c r="M51" s="3"/>
      <c r="N51" s="3"/>
      <c r="O51" s="3"/>
      <c r="P51" s="5"/>
      <c r="Q51" s="3"/>
    </row>
    <row r="52" spans="1:17" ht="67.95" customHeight="1">
      <c r="A52" s="4" t="s">
        <v>347</v>
      </c>
      <c r="B52" s="3" t="s">
        <v>20</v>
      </c>
      <c r="C52" s="3" t="s">
        <v>348</v>
      </c>
      <c r="D52" s="3" t="s">
        <v>349</v>
      </c>
      <c r="E52" s="3" t="s">
        <v>350</v>
      </c>
      <c r="F52" s="3" t="s">
        <v>351</v>
      </c>
      <c r="G52" s="3" t="s">
        <v>352</v>
      </c>
      <c r="H52" s="3" t="s">
        <v>353</v>
      </c>
      <c r="I52" s="4" t="s">
        <v>3</v>
      </c>
      <c r="J52" s="4" t="s">
        <v>66</v>
      </c>
      <c r="K52" s="4" t="s">
        <v>58</v>
      </c>
      <c r="L52" s="4" t="s">
        <v>12</v>
      </c>
      <c r="M52" s="3"/>
      <c r="N52" s="3"/>
      <c r="O52" s="3"/>
      <c r="P52" s="5"/>
      <c r="Q52" s="3"/>
    </row>
    <row r="53" spans="1:17" ht="67.95" customHeight="1">
      <c r="A53" s="4" t="s">
        <v>354</v>
      </c>
      <c r="B53" s="3" t="s">
        <v>20</v>
      </c>
      <c r="C53" s="3" t="s">
        <v>355</v>
      </c>
      <c r="D53" s="3" t="s">
        <v>356</v>
      </c>
      <c r="E53" s="3" t="s">
        <v>357</v>
      </c>
      <c r="F53" s="3" t="s">
        <v>358</v>
      </c>
      <c r="G53" s="3" t="s">
        <v>359</v>
      </c>
      <c r="H53" s="3" t="s">
        <v>360</v>
      </c>
      <c r="I53" s="4" t="s">
        <v>3</v>
      </c>
      <c r="J53" s="4" t="s">
        <v>81</v>
      </c>
      <c r="K53" s="4" t="s">
        <v>58</v>
      </c>
      <c r="L53" s="4" t="s">
        <v>12</v>
      </c>
      <c r="M53" s="3"/>
      <c r="N53" s="3"/>
      <c r="O53" s="3"/>
      <c r="P53" s="5"/>
      <c r="Q53" s="3"/>
    </row>
    <row r="54" spans="1:17" ht="67.95" customHeight="1">
      <c r="A54" s="4" t="s">
        <v>361</v>
      </c>
      <c r="B54" s="3" t="s">
        <v>20</v>
      </c>
      <c r="C54" s="3" t="s">
        <v>355</v>
      </c>
      <c r="D54" s="3" t="s">
        <v>362</v>
      </c>
      <c r="E54" s="3" t="s">
        <v>363</v>
      </c>
      <c r="F54" s="3" t="s">
        <v>364</v>
      </c>
      <c r="G54" s="3" t="s">
        <v>365</v>
      </c>
      <c r="H54" s="3" t="s">
        <v>366</v>
      </c>
      <c r="I54" s="4" t="s">
        <v>3</v>
      </c>
      <c r="J54" s="4" t="s">
        <v>88</v>
      </c>
      <c r="K54" s="4" t="s">
        <v>58</v>
      </c>
      <c r="L54" s="4" t="s">
        <v>12</v>
      </c>
      <c r="M54" s="3"/>
      <c r="N54" s="3"/>
      <c r="O54" s="3"/>
      <c r="P54" s="5"/>
      <c r="Q54" s="3"/>
    </row>
    <row r="55" spans="1:17" ht="67.95" customHeight="1">
      <c r="A55" s="4" t="s">
        <v>367</v>
      </c>
      <c r="B55" s="3" t="s">
        <v>20</v>
      </c>
      <c r="C55" s="3" t="s">
        <v>368</v>
      </c>
      <c r="D55" s="3" t="s">
        <v>369</v>
      </c>
      <c r="E55" s="3" t="s">
        <v>370</v>
      </c>
      <c r="F55" s="3" t="s">
        <v>371</v>
      </c>
      <c r="G55" s="3" t="s">
        <v>372</v>
      </c>
      <c r="H55" s="3" t="s">
        <v>373</v>
      </c>
      <c r="I55" s="4" t="s">
        <v>4</v>
      </c>
      <c r="J55" s="4" t="s">
        <v>123</v>
      </c>
      <c r="K55" s="4" t="s">
        <v>58</v>
      </c>
      <c r="L55" s="4" t="s">
        <v>12</v>
      </c>
      <c r="M55" s="3"/>
      <c r="N55" s="3"/>
      <c r="O55" s="3"/>
      <c r="P55" s="5"/>
      <c r="Q55" s="3"/>
    </row>
    <row r="56" spans="1:17" ht="67.95" customHeight="1">
      <c r="A56" s="4" t="s">
        <v>374</v>
      </c>
      <c r="B56" s="3" t="s">
        <v>20</v>
      </c>
      <c r="C56" s="3" t="s">
        <v>375</v>
      </c>
      <c r="D56" s="3" t="s">
        <v>376</v>
      </c>
      <c r="E56" s="3" t="s">
        <v>377</v>
      </c>
      <c r="F56" s="3" t="s">
        <v>378</v>
      </c>
      <c r="G56" s="3" t="s">
        <v>379</v>
      </c>
      <c r="H56" s="3" t="s">
        <v>380</v>
      </c>
      <c r="I56" s="4" t="s">
        <v>3</v>
      </c>
      <c r="J56" s="4" t="s">
        <v>123</v>
      </c>
      <c r="K56" s="4" t="s">
        <v>58</v>
      </c>
      <c r="L56" s="4" t="s">
        <v>12</v>
      </c>
      <c r="M56" s="3"/>
      <c r="N56" s="3"/>
      <c r="O56" s="3"/>
      <c r="P56" s="5"/>
      <c r="Q56" s="3"/>
    </row>
    <row r="57" spans="1:17" ht="67.95" customHeight="1">
      <c r="A57" s="4" t="s">
        <v>381</v>
      </c>
      <c r="B57" s="3" t="s">
        <v>23</v>
      </c>
      <c r="C57" s="3" t="s">
        <v>382</v>
      </c>
      <c r="D57" s="3" t="s">
        <v>383</v>
      </c>
      <c r="E57" s="3" t="s">
        <v>113</v>
      </c>
      <c r="F57" s="3" t="s">
        <v>384</v>
      </c>
      <c r="G57" s="3" t="s">
        <v>385</v>
      </c>
      <c r="H57" s="3" t="s">
        <v>386</v>
      </c>
      <c r="I57" s="4" t="s">
        <v>3</v>
      </c>
      <c r="J57" s="4" t="s">
        <v>74</v>
      </c>
      <c r="K57" s="4" t="s">
        <v>58</v>
      </c>
      <c r="L57" s="4" t="s">
        <v>12</v>
      </c>
      <c r="M57" s="3"/>
      <c r="N57" s="3"/>
      <c r="O57" s="3"/>
      <c r="P57" s="5"/>
      <c r="Q57" s="3"/>
    </row>
    <row r="58" spans="1:17" ht="67.95" customHeight="1">
      <c r="A58" s="4" t="s">
        <v>387</v>
      </c>
      <c r="B58" s="3" t="s">
        <v>23</v>
      </c>
      <c r="C58" s="3" t="s">
        <v>388</v>
      </c>
      <c r="D58" s="3" t="s">
        <v>389</v>
      </c>
      <c r="E58" s="3" t="s">
        <v>390</v>
      </c>
      <c r="F58" s="3" t="s">
        <v>391</v>
      </c>
      <c r="G58" s="3" t="s">
        <v>392</v>
      </c>
      <c r="H58" s="3" t="s">
        <v>393</v>
      </c>
      <c r="I58" s="4" t="s">
        <v>3</v>
      </c>
      <c r="J58" s="4" t="s">
        <v>74</v>
      </c>
      <c r="K58" s="4" t="s">
        <v>58</v>
      </c>
      <c r="L58" s="4" t="s">
        <v>12</v>
      </c>
      <c r="M58" s="3"/>
      <c r="N58" s="3"/>
      <c r="O58" s="3"/>
      <c r="P58" s="5"/>
      <c r="Q58" s="3"/>
    </row>
    <row r="59" spans="1:17" ht="67.95" customHeight="1">
      <c r="A59" s="4" t="s">
        <v>394</v>
      </c>
      <c r="B59" s="3" t="s">
        <v>23</v>
      </c>
      <c r="C59" s="3" t="s">
        <v>388</v>
      </c>
      <c r="D59" s="3" t="s">
        <v>395</v>
      </c>
      <c r="E59" s="3" t="s">
        <v>390</v>
      </c>
      <c r="F59" s="3" t="s">
        <v>396</v>
      </c>
      <c r="G59" s="3" t="s">
        <v>397</v>
      </c>
      <c r="H59" s="3" t="s">
        <v>398</v>
      </c>
      <c r="I59" s="4" t="s">
        <v>4</v>
      </c>
      <c r="J59" s="4" t="s">
        <v>74</v>
      </c>
      <c r="K59" s="4" t="s">
        <v>58</v>
      </c>
      <c r="L59" s="4" t="s">
        <v>12</v>
      </c>
      <c r="M59" s="3"/>
      <c r="N59" s="3"/>
      <c r="O59" s="3"/>
      <c r="P59" s="5"/>
      <c r="Q59" s="3"/>
    </row>
    <row r="60" spans="1:17" ht="67.95" customHeight="1">
      <c r="A60" s="4" t="s">
        <v>399</v>
      </c>
      <c r="B60" s="3" t="s">
        <v>23</v>
      </c>
      <c r="C60" s="3" t="s">
        <v>388</v>
      </c>
      <c r="D60" s="3" t="s">
        <v>400</v>
      </c>
      <c r="E60" s="3" t="s">
        <v>390</v>
      </c>
      <c r="F60" s="3" t="s">
        <v>401</v>
      </c>
      <c r="G60" s="3" t="s">
        <v>402</v>
      </c>
      <c r="H60" s="3" t="s">
        <v>403</v>
      </c>
      <c r="I60" s="4" t="s">
        <v>4</v>
      </c>
      <c r="J60" s="4" t="s">
        <v>404</v>
      </c>
      <c r="K60" s="4" t="s">
        <v>58</v>
      </c>
      <c r="L60" s="4" t="s">
        <v>12</v>
      </c>
      <c r="M60" s="3"/>
      <c r="N60" s="3"/>
      <c r="O60" s="3"/>
      <c r="P60" s="5"/>
      <c r="Q60" s="3"/>
    </row>
    <row r="61" spans="1:17" ht="67.95" customHeight="1">
      <c r="A61" s="4" t="s">
        <v>405</v>
      </c>
      <c r="B61" s="3" t="s">
        <v>23</v>
      </c>
      <c r="C61" s="3" t="s">
        <v>388</v>
      </c>
      <c r="D61" s="3" t="s">
        <v>406</v>
      </c>
      <c r="E61" s="3" t="s">
        <v>390</v>
      </c>
      <c r="F61" s="3" t="s">
        <v>407</v>
      </c>
      <c r="G61" s="3" t="s">
        <v>408</v>
      </c>
      <c r="H61" s="3" t="s">
        <v>409</v>
      </c>
      <c r="I61" s="4" t="s">
        <v>3</v>
      </c>
      <c r="J61" s="4" t="s">
        <v>81</v>
      </c>
      <c r="K61" s="4" t="s">
        <v>58</v>
      </c>
      <c r="L61" s="4" t="s">
        <v>12</v>
      </c>
      <c r="M61" s="3"/>
      <c r="N61" s="3"/>
      <c r="O61" s="3"/>
      <c r="P61" s="5"/>
      <c r="Q61" s="3"/>
    </row>
    <row r="62" spans="1:17" ht="67.95" customHeight="1">
      <c r="A62" s="4" t="s">
        <v>410</v>
      </c>
      <c r="B62" s="3" t="s">
        <v>23</v>
      </c>
      <c r="C62" s="3" t="s">
        <v>411</v>
      </c>
      <c r="D62" s="3" t="s">
        <v>412</v>
      </c>
      <c r="E62" s="3" t="s">
        <v>413</v>
      </c>
      <c r="F62" s="3" t="s">
        <v>414</v>
      </c>
      <c r="G62" s="3" t="s">
        <v>415</v>
      </c>
      <c r="H62" s="3" t="s">
        <v>416</v>
      </c>
      <c r="I62" s="4" t="s">
        <v>3</v>
      </c>
      <c r="J62" s="4" t="s">
        <v>74</v>
      </c>
      <c r="K62" s="4" t="s">
        <v>58</v>
      </c>
      <c r="L62" s="4" t="s">
        <v>12</v>
      </c>
      <c r="M62" s="3"/>
      <c r="N62" s="3"/>
      <c r="O62" s="3"/>
      <c r="P62" s="5"/>
      <c r="Q62" s="3"/>
    </row>
    <row r="63" spans="1:17" ht="67.95" customHeight="1">
      <c r="A63" s="4" t="s">
        <v>417</v>
      </c>
      <c r="B63" s="3" t="s">
        <v>23</v>
      </c>
      <c r="C63" s="3" t="s">
        <v>411</v>
      </c>
      <c r="D63" s="3" t="s">
        <v>418</v>
      </c>
      <c r="E63" s="3" t="s">
        <v>419</v>
      </c>
      <c r="F63" s="3" t="s">
        <v>420</v>
      </c>
      <c r="G63" s="3" t="s">
        <v>421</v>
      </c>
      <c r="H63" s="3" t="s">
        <v>422</v>
      </c>
      <c r="I63" s="4" t="s">
        <v>3</v>
      </c>
      <c r="J63" s="4" t="s">
        <v>74</v>
      </c>
      <c r="K63" s="4" t="s">
        <v>58</v>
      </c>
      <c r="L63" s="4" t="s">
        <v>12</v>
      </c>
      <c r="M63" s="3"/>
      <c r="N63" s="3"/>
      <c r="O63" s="3"/>
      <c r="P63" s="5"/>
      <c r="Q63" s="3"/>
    </row>
    <row r="64" spans="1:17" ht="67.95" customHeight="1">
      <c r="A64" s="4" t="s">
        <v>423</v>
      </c>
      <c r="B64" s="3" t="s">
        <v>23</v>
      </c>
      <c r="C64" s="3" t="s">
        <v>424</v>
      </c>
      <c r="D64" s="3" t="s">
        <v>425</v>
      </c>
      <c r="E64" s="3" t="s">
        <v>426</v>
      </c>
      <c r="F64" s="3" t="s">
        <v>427</v>
      </c>
      <c r="G64" s="3" t="s">
        <v>428</v>
      </c>
      <c r="H64" s="3" t="s">
        <v>429</v>
      </c>
      <c r="I64" s="4" t="s">
        <v>3</v>
      </c>
      <c r="J64" s="4" t="s">
        <v>88</v>
      </c>
      <c r="K64" s="4" t="s">
        <v>58</v>
      </c>
      <c r="L64" s="4" t="s">
        <v>12</v>
      </c>
      <c r="M64" s="3"/>
      <c r="N64" s="3"/>
      <c r="O64" s="3"/>
      <c r="P64" s="5"/>
      <c r="Q64" s="3"/>
    </row>
    <row r="65" spans="1:17" ht="67.95" customHeight="1">
      <c r="A65" s="4" t="s">
        <v>430</v>
      </c>
      <c r="B65" s="3" t="s">
        <v>23</v>
      </c>
      <c r="C65" s="3" t="s">
        <v>431</v>
      </c>
      <c r="D65" s="3" t="s">
        <v>432</v>
      </c>
      <c r="E65" s="3" t="s">
        <v>433</v>
      </c>
      <c r="F65" s="3" t="s">
        <v>434</v>
      </c>
      <c r="G65" s="3" t="s">
        <v>435</v>
      </c>
      <c r="H65" s="3" t="s">
        <v>436</v>
      </c>
      <c r="I65" s="4" t="s">
        <v>3</v>
      </c>
      <c r="J65" s="4" t="s">
        <v>81</v>
      </c>
      <c r="K65" s="4" t="s">
        <v>58</v>
      </c>
      <c r="L65" s="4" t="s">
        <v>12</v>
      </c>
      <c r="M65" s="3"/>
      <c r="N65" s="3"/>
      <c r="O65" s="3"/>
      <c r="P65" s="5"/>
      <c r="Q65" s="3"/>
    </row>
    <row r="66" spans="1:17" ht="67.95" customHeight="1">
      <c r="A66" s="4" t="s">
        <v>437</v>
      </c>
      <c r="B66" s="3" t="s">
        <v>23</v>
      </c>
      <c r="C66" s="3" t="s">
        <v>438</v>
      </c>
      <c r="D66" s="3" t="s">
        <v>439</v>
      </c>
      <c r="E66" s="3" t="s">
        <v>440</v>
      </c>
      <c r="F66" s="3" t="s">
        <v>441</v>
      </c>
      <c r="G66" s="3" t="s">
        <v>442</v>
      </c>
      <c r="H66" s="3" t="s">
        <v>443</v>
      </c>
      <c r="I66" s="4" t="s">
        <v>4</v>
      </c>
      <c r="J66" s="4" t="s">
        <v>66</v>
      </c>
      <c r="K66" s="4" t="s">
        <v>58</v>
      </c>
      <c r="L66" s="4" t="s">
        <v>12</v>
      </c>
      <c r="M66" s="3"/>
      <c r="N66" s="3"/>
      <c r="O66" s="3"/>
      <c r="P66" s="5"/>
      <c r="Q66" s="3"/>
    </row>
    <row r="67" spans="1:17" ht="67.95" customHeight="1">
      <c r="A67" s="4" t="s">
        <v>444</v>
      </c>
      <c r="B67" s="3" t="s">
        <v>24</v>
      </c>
      <c r="C67" s="3" t="s">
        <v>445</v>
      </c>
      <c r="D67" s="3" t="s">
        <v>446</v>
      </c>
      <c r="E67" s="3" t="s">
        <v>105</v>
      </c>
      <c r="F67" s="3" t="s">
        <v>447</v>
      </c>
      <c r="G67" s="3" t="s">
        <v>448</v>
      </c>
      <c r="H67" s="3" t="s">
        <v>449</v>
      </c>
      <c r="I67" s="4" t="s">
        <v>3</v>
      </c>
      <c r="J67" s="4" t="s">
        <v>74</v>
      </c>
      <c r="K67" s="4" t="s">
        <v>58</v>
      </c>
      <c r="L67" s="4" t="s">
        <v>12</v>
      </c>
      <c r="M67" s="3"/>
      <c r="N67" s="3"/>
      <c r="O67" s="3"/>
      <c r="P67" s="5"/>
      <c r="Q67" s="3"/>
    </row>
    <row r="68" spans="1:17" ht="67.95" customHeight="1">
      <c r="A68" s="4" t="s">
        <v>450</v>
      </c>
      <c r="B68" s="3" t="s">
        <v>24</v>
      </c>
      <c r="C68" s="3" t="s">
        <v>451</v>
      </c>
      <c r="D68" s="3" t="s">
        <v>452</v>
      </c>
      <c r="E68" s="3" t="s">
        <v>105</v>
      </c>
      <c r="F68" s="3" t="s">
        <v>453</v>
      </c>
      <c r="G68" s="3" t="s">
        <v>454</v>
      </c>
      <c r="H68" s="3" t="s">
        <v>455</v>
      </c>
      <c r="I68" s="4" t="s">
        <v>4</v>
      </c>
      <c r="J68" s="4" t="s">
        <v>66</v>
      </c>
      <c r="K68" s="4" t="s">
        <v>58</v>
      </c>
      <c r="L68" s="4" t="s">
        <v>12</v>
      </c>
      <c r="M68" s="3"/>
      <c r="N68" s="3"/>
      <c r="O68" s="3"/>
      <c r="P68" s="5"/>
      <c r="Q68" s="3"/>
    </row>
    <row r="69" spans="1:17" ht="67.95" customHeight="1">
      <c r="A69" s="4" t="s">
        <v>456</v>
      </c>
      <c r="B69" s="3" t="s">
        <v>24</v>
      </c>
      <c r="C69" s="3" t="s">
        <v>457</v>
      </c>
      <c r="D69" s="3" t="s">
        <v>458</v>
      </c>
      <c r="E69" s="3" t="s">
        <v>459</v>
      </c>
      <c r="F69" s="3" t="s">
        <v>460</v>
      </c>
      <c r="G69" s="3" t="s">
        <v>461</v>
      </c>
      <c r="H69" s="3" t="s">
        <v>462</v>
      </c>
      <c r="I69" s="4" t="s">
        <v>4</v>
      </c>
      <c r="J69" s="4" t="s">
        <v>74</v>
      </c>
      <c r="K69" s="4" t="s">
        <v>58</v>
      </c>
      <c r="L69" s="4" t="s">
        <v>12</v>
      </c>
      <c r="M69" s="3"/>
      <c r="N69" s="3"/>
      <c r="O69" s="3"/>
      <c r="P69" s="5"/>
      <c r="Q69" s="3"/>
    </row>
    <row r="70" spans="1:17" ht="67.95" customHeight="1">
      <c r="A70" s="4" t="s">
        <v>463</v>
      </c>
      <c r="B70" s="3" t="s">
        <v>24</v>
      </c>
      <c r="C70" s="3" t="s">
        <v>17</v>
      </c>
      <c r="D70" s="3" t="s">
        <v>464</v>
      </c>
      <c r="E70" s="3" t="s">
        <v>465</v>
      </c>
      <c r="F70" s="3" t="s">
        <v>466</v>
      </c>
      <c r="G70" s="3" t="s">
        <v>467</v>
      </c>
      <c r="H70" s="3" t="s">
        <v>468</v>
      </c>
      <c r="I70" s="4" t="s">
        <v>3</v>
      </c>
      <c r="J70" s="4" t="s">
        <v>123</v>
      </c>
      <c r="K70" s="4" t="s">
        <v>58</v>
      </c>
      <c r="L70" s="4" t="s">
        <v>12</v>
      </c>
      <c r="M70" s="3"/>
      <c r="N70" s="3"/>
      <c r="O70" s="3"/>
      <c r="P70" s="5"/>
      <c r="Q70" s="3"/>
    </row>
    <row r="71" spans="1:17" ht="67.95" customHeight="1">
      <c r="A71" s="4" t="s">
        <v>469</v>
      </c>
      <c r="B71" s="3" t="s">
        <v>24</v>
      </c>
      <c r="C71" s="3" t="s">
        <v>17</v>
      </c>
      <c r="D71" s="3" t="s">
        <v>470</v>
      </c>
      <c r="E71" s="3" t="s">
        <v>260</v>
      </c>
      <c r="F71" s="3" t="s">
        <v>471</v>
      </c>
      <c r="G71" s="3" t="s">
        <v>472</v>
      </c>
      <c r="H71" s="3" t="s">
        <v>473</v>
      </c>
      <c r="I71" s="4" t="s">
        <v>3</v>
      </c>
      <c r="J71" s="4" t="s">
        <v>66</v>
      </c>
      <c r="K71" s="4" t="s">
        <v>58</v>
      </c>
      <c r="L71" s="4" t="s">
        <v>12</v>
      </c>
      <c r="M71" s="3"/>
      <c r="N71" s="3"/>
      <c r="O71" s="3"/>
      <c r="P71" s="5"/>
      <c r="Q71" s="3"/>
    </row>
    <row r="72" spans="1:17" ht="67.95" customHeight="1">
      <c r="A72" s="4" t="s">
        <v>474</v>
      </c>
      <c r="B72" s="3" t="s">
        <v>24</v>
      </c>
      <c r="C72" s="3" t="s">
        <v>475</v>
      </c>
      <c r="D72" s="3" t="s">
        <v>476</v>
      </c>
      <c r="E72" s="3" t="s">
        <v>477</v>
      </c>
      <c r="F72" s="3" t="s">
        <v>478</v>
      </c>
      <c r="G72" s="3" t="s">
        <v>479</v>
      </c>
      <c r="H72" s="3" t="s">
        <v>480</v>
      </c>
      <c r="I72" s="4" t="s">
        <v>3</v>
      </c>
      <c r="J72" s="4" t="s">
        <v>66</v>
      </c>
      <c r="K72" s="4" t="s">
        <v>58</v>
      </c>
      <c r="L72" s="4" t="s">
        <v>12</v>
      </c>
      <c r="M72" s="3"/>
      <c r="N72" s="3"/>
      <c r="O72" s="3"/>
      <c r="P72" s="5"/>
      <c r="Q72" s="3"/>
    </row>
    <row r="73" spans="1:17" ht="67.95" customHeight="1">
      <c r="A73" s="4" t="s">
        <v>481</v>
      </c>
      <c r="B73" s="3" t="s">
        <v>24</v>
      </c>
      <c r="C73" s="3" t="s">
        <v>475</v>
      </c>
      <c r="D73" s="3" t="s">
        <v>482</v>
      </c>
      <c r="E73" s="3" t="s">
        <v>483</v>
      </c>
      <c r="F73" s="3" t="s">
        <v>484</v>
      </c>
      <c r="G73" s="3" t="s">
        <v>485</v>
      </c>
      <c r="H73" s="3" t="s">
        <v>486</v>
      </c>
      <c r="I73" s="4" t="s">
        <v>3</v>
      </c>
      <c r="J73" s="4" t="s">
        <v>66</v>
      </c>
      <c r="K73" s="4" t="s">
        <v>58</v>
      </c>
      <c r="L73" s="4" t="s">
        <v>12</v>
      </c>
      <c r="M73" s="3"/>
      <c r="N73" s="3"/>
      <c r="O73" s="3"/>
      <c r="P73" s="5"/>
      <c r="Q73" s="3"/>
    </row>
    <row r="74" spans="1:17" ht="67.95" customHeight="1">
      <c r="A74" s="4" t="s">
        <v>487</v>
      </c>
      <c r="B74" s="3" t="s">
        <v>24</v>
      </c>
      <c r="C74" s="3" t="s">
        <v>488</v>
      </c>
      <c r="D74" s="3" t="s">
        <v>489</v>
      </c>
      <c r="E74" s="3" t="s">
        <v>490</v>
      </c>
      <c r="F74" s="3" t="s">
        <v>491</v>
      </c>
      <c r="G74" s="3" t="s">
        <v>492</v>
      </c>
      <c r="H74" s="3" t="s">
        <v>493</v>
      </c>
      <c r="I74" s="4" t="s">
        <v>3</v>
      </c>
      <c r="J74" s="4" t="s">
        <v>74</v>
      </c>
      <c r="K74" s="4" t="s">
        <v>58</v>
      </c>
      <c r="L74" s="4" t="s">
        <v>12</v>
      </c>
      <c r="M74" s="3"/>
      <c r="N74" s="3"/>
      <c r="O74" s="3"/>
      <c r="P74" s="5"/>
      <c r="Q74" s="3"/>
    </row>
    <row r="75" spans="1:17" ht="67.95" customHeight="1">
      <c r="A75" s="4" t="s">
        <v>494</v>
      </c>
      <c r="B75" s="3" t="s">
        <v>24</v>
      </c>
      <c r="C75" s="3" t="s">
        <v>495</v>
      </c>
      <c r="D75" s="3" t="s">
        <v>496</v>
      </c>
      <c r="E75" s="3" t="s">
        <v>497</v>
      </c>
      <c r="F75" s="3" t="s">
        <v>498</v>
      </c>
      <c r="G75" s="3" t="s">
        <v>499</v>
      </c>
      <c r="H75" s="3" t="s">
        <v>500</v>
      </c>
      <c r="I75" s="4" t="s">
        <v>4</v>
      </c>
      <c r="J75" s="4" t="s">
        <v>81</v>
      </c>
      <c r="K75" s="4" t="s">
        <v>58</v>
      </c>
      <c r="L75" s="4" t="s">
        <v>12</v>
      </c>
      <c r="M75" s="3"/>
      <c r="N75" s="3"/>
      <c r="O75" s="3"/>
      <c r="P75" s="5"/>
      <c r="Q75" s="3"/>
    </row>
    <row r="76" spans="1:17" ht="67.95" customHeight="1">
      <c r="A76" s="4" t="s">
        <v>501</v>
      </c>
      <c r="B76" s="3" t="s">
        <v>24</v>
      </c>
      <c r="C76" s="3" t="s">
        <v>502</v>
      </c>
      <c r="D76" s="3" t="s">
        <v>503</v>
      </c>
      <c r="E76" s="3" t="s">
        <v>504</v>
      </c>
      <c r="F76" s="3" t="s">
        <v>505</v>
      </c>
      <c r="G76" s="3" t="s">
        <v>506</v>
      </c>
      <c r="H76" s="3" t="s">
        <v>507</v>
      </c>
      <c r="I76" s="4" t="s">
        <v>3</v>
      </c>
      <c r="J76" s="4" t="s">
        <v>88</v>
      </c>
      <c r="K76" s="4" t="s">
        <v>58</v>
      </c>
      <c r="L76" s="4" t="s">
        <v>12</v>
      </c>
      <c r="M76" s="3"/>
      <c r="N76" s="3"/>
      <c r="O76" s="3"/>
      <c r="P76" s="5"/>
      <c r="Q76" s="3"/>
    </row>
    <row r="77" spans="1:17" ht="67.95" customHeight="1">
      <c r="A77" s="4" t="s">
        <v>508</v>
      </c>
      <c r="B77" s="3" t="s">
        <v>24</v>
      </c>
      <c r="C77" s="3" t="s">
        <v>509</v>
      </c>
      <c r="D77" s="3" t="s">
        <v>510</v>
      </c>
      <c r="E77" s="3" t="s">
        <v>511</v>
      </c>
      <c r="F77" s="3" t="s">
        <v>512</v>
      </c>
      <c r="G77" s="3" t="s">
        <v>513</v>
      </c>
      <c r="H77" s="3" t="s">
        <v>514</v>
      </c>
      <c r="I77" s="4" t="s">
        <v>4</v>
      </c>
      <c r="J77" s="4" t="s">
        <v>81</v>
      </c>
      <c r="K77" s="4" t="s">
        <v>58</v>
      </c>
      <c r="L77" s="4" t="s">
        <v>12</v>
      </c>
      <c r="M77" s="3"/>
      <c r="N77" s="3"/>
      <c r="O77" s="3"/>
      <c r="P77" s="5"/>
      <c r="Q77" s="3"/>
    </row>
    <row r="78" spans="1:17" ht="67.95" customHeight="1">
      <c r="A78" s="4" t="s">
        <v>515</v>
      </c>
      <c r="B78" s="3" t="s">
        <v>24</v>
      </c>
      <c r="C78" s="3" t="s">
        <v>516</v>
      </c>
      <c r="D78" s="3" t="s">
        <v>517</v>
      </c>
      <c r="E78" s="3" t="s">
        <v>518</v>
      </c>
      <c r="F78" s="3" t="s">
        <v>519</v>
      </c>
      <c r="G78" s="3" t="s">
        <v>520</v>
      </c>
      <c r="H78" s="3" t="s">
        <v>521</v>
      </c>
      <c r="I78" s="4" t="s">
        <v>3</v>
      </c>
      <c r="J78" s="4" t="s">
        <v>123</v>
      </c>
      <c r="K78" s="4" t="s">
        <v>58</v>
      </c>
      <c r="L78" s="4" t="s">
        <v>12</v>
      </c>
      <c r="M78" s="3"/>
      <c r="N78" s="3"/>
      <c r="O78" s="3"/>
      <c r="P78" s="5"/>
      <c r="Q78" s="3"/>
    </row>
    <row r="79" spans="1:17" ht="67.95" customHeight="1">
      <c r="A79" s="4" t="s">
        <v>522</v>
      </c>
      <c r="B79" s="3" t="s">
        <v>24</v>
      </c>
      <c r="C79" s="3" t="s">
        <v>523</v>
      </c>
      <c r="D79" s="3" t="s">
        <v>524</v>
      </c>
      <c r="E79" s="3" t="s">
        <v>525</v>
      </c>
      <c r="F79" s="3" t="s">
        <v>526</v>
      </c>
      <c r="G79" s="3" t="s">
        <v>527</v>
      </c>
      <c r="H79" s="3" t="s">
        <v>528</v>
      </c>
      <c r="I79" s="4" t="s">
        <v>4</v>
      </c>
      <c r="J79" s="4" t="s">
        <v>74</v>
      </c>
      <c r="K79" s="4" t="s">
        <v>58</v>
      </c>
      <c r="L79" s="4" t="s">
        <v>12</v>
      </c>
      <c r="M79" s="3"/>
      <c r="N79" s="3"/>
      <c r="O79" s="3"/>
      <c r="P79" s="5"/>
      <c r="Q79" s="3"/>
    </row>
    <row r="80" spans="1:17" ht="67.95" customHeight="1">
      <c r="A80" s="4" t="s">
        <v>529</v>
      </c>
      <c r="B80" s="3" t="s">
        <v>24</v>
      </c>
      <c r="C80" s="3" t="s">
        <v>523</v>
      </c>
      <c r="D80" s="3" t="s">
        <v>530</v>
      </c>
      <c r="E80" s="3" t="s">
        <v>531</v>
      </c>
      <c r="F80" s="3" t="s">
        <v>532</v>
      </c>
      <c r="G80" s="3" t="s">
        <v>533</v>
      </c>
      <c r="H80" s="3" t="s">
        <v>534</v>
      </c>
      <c r="I80" s="4" t="s">
        <v>18</v>
      </c>
      <c r="J80" s="4" t="s">
        <v>66</v>
      </c>
      <c r="K80" s="4" t="s">
        <v>58</v>
      </c>
      <c r="L80" s="4" t="s">
        <v>12</v>
      </c>
      <c r="M80" s="3"/>
      <c r="N80" s="3"/>
      <c r="O80" s="3"/>
      <c r="P80" s="5"/>
      <c r="Q80" s="3"/>
    </row>
    <row r="81" spans="1:17" ht="67.95" customHeight="1">
      <c r="A81" s="4" t="s">
        <v>535</v>
      </c>
      <c r="B81" s="3" t="s">
        <v>26</v>
      </c>
      <c r="C81" s="3" t="s">
        <v>536</v>
      </c>
      <c r="D81" s="3" t="s">
        <v>537</v>
      </c>
      <c r="E81" s="3" t="s">
        <v>174</v>
      </c>
      <c r="F81" s="3" t="s">
        <v>538</v>
      </c>
      <c r="G81" s="3" t="s">
        <v>539</v>
      </c>
      <c r="H81" s="3" t="s">
        <v>540</v>
      </c>
      <c r="I81" s="4" t="s">
        <v>3</v>
      </c>
      <c r="J81" s="4" t="s">
        <v>74</v>
      </c>
      <c r="K81" s="4" t="s">
        <v>58</v>
      </c>
      <c r="L81" s="4" t="s">
        <v>12</v>
      </c>
      <c r="M81" s="3"/>
      <c r="N81" s="3"/>
      <c r="O81" s="3"/>
      <c r="P81" s="5"/>
      <c r="Q81" s="3"/>
    </row>
    <row r="82" spans="1:17" ht="67.95" customHeight="1">
      <c r="A82" s="4" t="s">
        <v>541</v>
      </c>
      <c r="B82" s="3" t="s">
        <v>26</v>
      </c>
      <c r="C82" s="3" t="s">
        <v>542</v>
      </c>
      <c r="D82" s="3" t="s">
        <v>543</v>
      </c>
      <c r="E82" s="3" t="s">
        <v>174</v>
      </c>
      <c r="F82" s="3" t="s">
        <v>544</v>
      </c>
      <c r="G82" s="3" t="s">
        <v>545</v>
      </c>
      <c r="H82" s="3" t="s">
        <v>546</v>
      </c>
      <c r="I82" s="4" t="s">
        <v>18</v>
      </c>
      <c r="J82" s="4" t="s">
        <v>74</v>
      </c>
      <c r="K82" s="4" t="s">
        <v>58</v>
      </c>
      <c r="L82" s="4" t="s">
        <v>12</v>
      </c>
      <c r="M82" s="3"/>
      <c r="N82" s="3"/>
      <c r="O82" s="3"/>
      <c r="P82" s="5"/>
      <c r="Q82" s="3"/>
    </row>
    <row r="83" spans="1:17" ht="67.95" customHeight="1">
      <c r="A83" s="4" t="s">
        <v>547</v>
      </c>
      <c r="B83" s="3" t="s">
        <v>26</v>
      </c>
      <c r="C83" s="3" t="s">
        <v>548</v>
      </c>
      <c r="D83" s="3" t="s">
        <v>549</v>
      </c>
      <c r="E83" s="3" t="s">
        <v>174</v>
      </c>
      <c r="F83" s="3" t="s">
        <v>550</v>
      </c>
      <c r="G83" s="3" t="s">
        <v>551</v>
      </c>
      <c r="H83" s="3" t="s">
        <v>552</v>
      </c>
      <c r="I83" s="4" t="s">
        <v>3</v>
      </c>
      <c r="J83" s="4" t="s">
        <v>123</v>
      </c>
      <c r="K83" s="4" t="s">
        <v>58</v>
      </c>
      <c r="L83" s="4" t="s">
        <v>12</v>
      </c>
      <c r="M83" s="3"/>
      <c r="N83" s="3"/>
      <c r="O83" s="3"/>
      <c r="P83" s="5"/>
      <c r="Q83" s="3"/>
    </row>
    <row r="84" spans="1:17" ht="67.95" customHeight="1">
      <c r="A84" s="4" t="s">
        <v>553</v>
      </c>
      <c r="B84" s="3" t="s">
        <v>26</v>
      </c>
      <c r="C84" s="3" t="s">
        <v>554</v>
      </c>
      <c r="D84" s="3" t="s">
        <v>555</v>
      </c>
      <c r="E84" s="3" t="s">
        <v>556</v>
      </c>
      <c r="F84" s="3" t="s">
        <v>557</v>
      </c>
      <c r="G84" s="3" t="s">
        <v>558</v>
      </c>
      <c r="H84" s="3" t="s">
        <v>559</v>
      </c>
      <c r="I84" s="4" t="s">
        <v>3</v>
      </c>
      <c r="J84" s="4" t="s">
        <v>404</v>
      </c>
      <c r="K84" s="4" t="s">
        <v>58</v>
      </c>
      <c r="L84" s="4" t="s">
        <v>12</v>
      </c>
      <c r="M84" s="3"/>
      <c r="N84" s="3"/>
      <c r="O84" s="3"/>
      <c r="P84" s="5"/>
      <c r="Q84" s="3"/>
    </row>
    <row r="85" spans="1:17" ht="67.95" customHeight="1">
      <c r="A85" s="4" t="s">
        <v>560</v>
      </c>
      <c r="B85" s="3" t="s">
        <v>26</v>
      </c>
      <c r="C85" s="3" t="s">
        <v>561</v>
      </c>
      <c r="D85" s="3" t="s">
        <v>562</v>
      </c>
      <c r="E85" s="3" t="s">
        <v>563</v>
      </c>
      <c r="F85" s="3" t="s">
        <v>564</v>
      </c>
      <c r="G85" s="3" t="s">
        <v>565</v>
      </c>
      <c r="H85" s="3" t="s">
        <v>566</v>
      </c>
      <c r="I85" s="4" t="s">
        <v>3</v>
      </c>
      <c r="J85" s="4" t="s">
        <v>66</v>
      </c>
      <c r="K85" s="4" t="s">
        <v>58</v>
      </c>
      <c r="L85" s="4" t="s">
        <v>12</v>
      </c>
      <c r="M85" s="3"/>
      <c r="N85" s="3"/>
      <c r="O85" s="3"/>
      <c r="P85" s="5"/>
      <c r="Q85" s="3"/>
    </row>
    <row r="86" spans="1:17" ht="67.95" customHeight="1">
      <c r="A86" s="4" t="s">
        <v>567</v>
      </c>
      <c r="B86" s="3" t="s">
        <v>26</v>
      </c>
      <c r="C86" s="3" t="s">
        <v>561</v>
      </c>
      <c r="D86" s="3" t="s">
        <v>568</v>
      </c>
      <c r="E86" s="3" t="s">
        <v>569</v>
      </c>
      <c r="F86" s="3" t="s">
        <v>570</v>
      </c>
      <c r="G86" s="3" t="s">
        <v>571</v>
      </c>
      <c r="H86" s="3" t="s">
        <v>572</v>
      </c>
      <c r="I86" s="4" t="s">
        <v>3</v>
      </c>
      <c r="J86" s="4" t="s">
        <v>66</v>
      </c>
      <c r="K86" s="4" t="s">
        <v>58</v>
      </c>
      <c r="L86" s="4" t="s">
        <v>12</v>
      </c>
      <c r="M86" s="3"/>
      <c r="N86" s="3"/>
      <c r="O86" s="3"/>
      <c r="P86" s="5"/>
      <c r="Q86" s="3"/>
    </row>
    <row r="87" spans="1:17" ht="67.95" customHeight="1">
      <c r="A87" s="4" t="s">
        <v>573</v>
      </c>
      <c r="B87" s="3" t="s">
        <v>26</v>
      </c>
      <c r="C87" s="3" t="s">
        <v>574</v>
      </c>
      <c r="D87" s="3" t="s">
        <v>575</v>
      </c>
      <c r="E87" s="3" t="s">
        <v>576</v>
      </c>
      <c r="F87" s="3" t="s">
        <v>577</v>
      </c>
      <c r="G87" s="3" t="s">
        <v>578</v>
      </c>
      <c r="H87" s="3" t="s">
        <v>579</v>
      </c>
      <c r="I87" s="4" t="s">
        <v>3</v>
      </c>
      <c r="J87" s="4" t="s">
        <v>66</v>
      </c>
      <c r="K87" s="4" t="s">
        <v>58</v>
      </c>
      <c r="L87" s="4" t="s">
        <v>12</v>
      </c>
      <c r="M87" s="3"/>
      <c r="N87" s="3"/>
      <c r="O87" s="3"/>
      <c r="P87" s="5"/>
      <c r="Q87" s="3"/>
    </row>
    <row r="88" spans="1:17" ht="67.95" customHeight="1">
      <c r="A88" s="4" t="s">
        <v>580</v>
      </c>
      <c r="B88" s="3" t="s">
        <v>26</v>
      </c>
      <c r="C88" s="3" t="s">
        <v>581</v>
      </c>
      <c r="D88" s="3" t="s">
        <v>582</v>
      </c>
      <c r="E88" s="3" t="s">
        <v>569</v>
      </c>
      <c r="F88" s="3" t="s">
        <v>583</v>
      </c>
      <c r="G88" s="3" t="s">
        <v>134</v>
      </c>
      <c r="H88" s="3" t="s">
        <v>584</v>
      </c>
      <c r="I88" s="4" t="s">
        <v>3</v>
      </c>
      <c r="J88" s="4" t="s">
        <v>81</v>
      </c>
      <c r="K88" s="4" t="s">
        <v>58</v>
      </c>
      <c r="L88" s="4" t="s">
        <v>12</v>
      </c>
      <c r="M88" s="3"/>
      <c r="N88" s="3"/>
      <c r="O88" s="3"/>
      <c r="P88" s="5"/>
      <c r="Q88" s="3"/>
    </row>
    <row r="89" spans="1:17" ht="67.95" customHeight="1">
      <c r="A89" s="4" t="s">
        <v>585</v>
      </c>
      <c r="B89" s="3" t="s">
        <v>26</v>
      </c>
      <c r="C89" s="3" t="s">
        <v>586</v>
      </c>
      <c r="D89" s="3" t="s">
        <v>587</v>
      </c>
      <c r="E89" s="3" t="s">
        <v>588</v>
      </c>
      <c r="F89" s="3" t="s">
        <v>589</v>
      </c>
      <c r="G89" s="3" t="s">
        <v>590</v>
      </c>
      <c r="H89" s="3" t="s">
        <v>591</v>
      </c>
      <c r="I89" s="4" t="s">
        <v>3</v>
      </c>
      <c r="J89" s="4" t="s">
        <v>81</v>
      </c>
      <c r="K89" s="4" t="s">
        <v>58</v>
      </c>
      <c r="L89" s="4" t="s">
        <v>12</v>
      </c>
      <c r="M89" s="3"/>
      <c r="N89" s="3"/>
      <c r="O89" s="3"/>
      <c r="P89" s="5"/>
      <c r="Q89" s="3"/>
    </row>
    <row r="90" spans="1:17" ht="67.95" customHeight="1">
      <c r="A90" s="4" t="s">
        <v>592</v>
      </c>
      <c r="B90" s="3" t="s">
        <v>26</v>
      </c>
      <c r="C90" s="3" t="s">
        <v>593</v>
      </c>
      <c r="D90" s="3" t="s">
        <v>594</v>
      </c>
      <c r="E90" s="3" t="s">
        <v>595</v>
      </c>
      <c r="F90" s="3" t="s">
        <v>596</v>
      </c>
      <c r="G90" s="3" t="s">
        <v>597</v>
      </c>
      <c r="H90" s="3" t="s">
        <v>598</v>
      </c>
      <c r="I90" s="4" t="s">
        <v>3</v>
      </c>
      <c r="J90" s="4" t="s">
        <v>66</v>
      </c>
      <c r="K90" s="4" t="s">
        <v>58</v>
      </c>
      <c r="L90" s="4" t="s">
        <v>12</v>
      </c>
      <c r="M90" s="3"/>
      <c r="N90" s="3"/>
      <c r="O90" s="3"/>
      <c r="P90" s="5"/>
      <c r="Q90" s="3"/>
    </row>
    <row r="91" spans="1:17" ht="67.95" customHeight="1">
      <c r="A91" s="4" t="s">
        <v>599</v>
      </c>
      <c r="B91" s="3" t="s">
        <v>26</v>
      </c>
      <c r="C91" s="3" t="s">
        <v>593</v>
      </c>
      <c r="D91" s="3" t="s">
        <v>600</v>
      </c>
      <c r="E91" s="3" t="s">
        <v>601</v>
      </c>
      <c r="F91" s="3" t="s">
        <v>602</v>
      </c>
      <c r="G91" s="3" t="s">
        <v>603</v>
      </c>
      <c r="H91" s="3" t="s">
        <v>604</v>
      </c>
      <c r="I91" s="4" t="s">
        <v>3</v>
      </c>
      <c r="J91" s="4" t="s">
        <v>66</v>
      </c>
      <c r="K91" s="4" t="s">
        <v>58</v>
      </c>
      <c r="L91" s="4" t="s">
        <v>12</v>
      </c>
      <c r="M91" s="3"/>
      <c r="N91" s="3"/>
      <c r="O91" s="3"/>
      <c r="P91" s="5"/>
      <c r="Q91" s="3"/>
    </row>
    <row r="92" spans="1:17" ht="67.95" customHeight="1">
      <c r="A92" s="4" t="s">
        <v>605</v>
      </c>
      <c r="B92" s="3" t="s">
        <v>26</v>
      </c>
      <c r="C92" s="3" t="s">
        <v>606</v>
      </c>
      <c r="D92" s="3" t="s">
        <v>607</v>
      </c>
      <c r="E92" s="3" t="s">
        <v>608</v>
      </c>
      <c r="F92" s="3" t="s">
        <v>609</v>
      </c>
      <c r="G92" s="3" t="s">
        <v>610</v>
      </c>
      <c r="H92" s="3" t="s">
        <v>611</v>
      </c>
      <c r="I92" s="4" t="s">
        <v>3</v>
      </c>
      <c r="J92" s="4" t="s">
        <v>123</v>
      </c>
      <c r="K92" s="4" t="s">
        <v>58</v>
      </c>
      <c r="L92" s="4" t="s">
        <v>12</v>
      </c>
      <c r="M92" s="3"/>
      <c r="N92" s="3"/>
      <c r="O92" s="3"/>
      <c r="P92" s="5"/>
      <c r="Q92" s="3"/>
    </row>
    <row r="93" spans="1:17" ht="67.95" customHeight="1">
      <c r="A93" s="4" t="s">
        <v>612</v>
      </c>
      <c r="B93" s="3" t="s">
        <v>26</v>
      </c>
      <c r="C93" s="3" t="s">
        <v>613</v>
      </c>
      <c r="D93" s="3" t="s">
        <v>614</v>
      </c>
      <c r="E93" s="3" t="s">
        <v>608</v>
      </c>
      <c r="F93" s="3" t="s">
        <v>615</v>
      </c>
      <c r="G93" s="3" t="s">
        <v>616</v>
      </c>
      <c r="H93" s="3" t="s">
        <v>617</v>
      </c>
      <c r="I93" s="4" t="s">
        <v>3</v>
      </c>
      <c r="J93" s="4" t="s">
        <v>123</v>
      </c>
      <c r="K93" s="4" t="s">
        <v>58</v>
      </c>
      <c r="L93" s="4" t="s">
        <v>12</v>
      </c>
      <c r="M93" s="3"/>
      <c r="N93" s="3"/>
      <c r="O93" s="3"/>
      <c r="P93" s="5"/>
      <c r="Q93" s="3"/>
    </row>
    <row r="94" spans="1:17" ht="67.95" customHeight="1">
      <c r="A94" s="4" t="s">
        <v>618</v>
      </c>
      <c r="B94" s="3" t="s">
        <v>26</v>
      </c>
      <c r="C94" s="3" t="s">
        <v>619</v>
      </c>
      <c r="D94" s="3" t="s">
        <v>620</v>
      </c>
      <c r="E94" s="3" t="s">
        <v>621</v>
      </c>
      <c r="F94" s="3" t="s">
        <v>622</v>
      </c>
      <c r="G94" s="3" t="s">
        <v>623</v>
      </c>
      <c r="H94" s="3" t="s">
        <v>624</v>
      </c>
      <c r="I94" s="4" t="s">
        <v>4</v>
      </c>
      <c r="J94" s="4" t="s">
        <v>123</v>
      </c>
      <c r="K94" s="4" t="s">
        <v>58</v>
      </c>
      <c r="L94" s="4" t="s">
        <v>12</v>
      </c>
      <c r="M94" s="3"/>
      <c r="N94" s="3"/>
      <c r="O94" s="3"/>
      <c r="P94" s="5"/>
      <c r="Q94" s="3"/>
    </row>
    <row r="95" spans="1:17" ht="67.95" customHeight="1">
      <c r="A95" s="4" t="s">
        <v>625</v>
      </c>
      <c r="B95" s="3" t="s">
        <v>26</v>
      </c>
      <c r="C95" s="3" t="s">
        <v>626</v>
      </c>
      <c r="D95" s="3" t="s">
        <v>627</v>
      </c>
      <c r="E95" s="3" t="s">
        <v>628</v>
      </c>
      <c r="F95" s="3" t="s">
        <v>629</v>
      </c>
      <c r="G95" s="3" t="s">
        <v>630</v>
      </c>
      <c r="H95" s="3" t="s">
        <v>631</v>
      </c>
      <c r="I95" s="4" t="s">
        <v>3</v>
      </c>
      <c r="J95" s="4" t="s">
        <v>66</v>
      </c>
      <c r="K95" s="4" t="s">
        <v>58</v>
      </c>
      <c r="L95" s="4" t="s">
        <v>12</v>
      </c>
      <c r="M95" s="3"/>
      <c r="N95" s="3"/>
      <c r="O95" s="3"/>
      <c r="P95" s="5"/>
      <c r="Q95" s="3"/>
    </row>
    <row r="96" spans="1:17" ht="67.95" customHeight="1">
      <c r="A96" s="4" t="s">
        <v>632</v>
      </c>
      <c r="B96" s="3" t="s">
        <v>26</v>
      </c>
      <c r="C96" s="3" t="s">
        <v>633</v>
      </c>
      <c r="D96" s="3" t="s">
        <v>634</v>
      </c>
      <c r="E96" s="3" t="s">
        <v>635</v>
      </c>
      <c r="F96" s="3" t="s">
        <v>636</v>
      </c>
      <c r="G96" s="3" t="s">
        <v>637</v>
      </c>
      <c r="H96" s="3" t="s">
        <v>638</v>
      </c>
      <c r="I96" s="4" t="s">
        <v>3</v>
      </c>
      <c r="J96" s="4" t="s">
        <v>66</v>
      </c>
      <c r="K96" s="4" t="s">
        <v>58</v>
      </c>
      <c r="L96" s="4" t="s">
        <v>12</v>
      </c>
      <c r="M96" s="3"/>
      <c r="N96" s="3"/>
      <c r="O96" s="3"/>
      <c r="P96" s="5"/>
      <c r="Q96" s="3"/>
    </row>
    <row r="97" spans="1:17" ht="67.95" customHeight="1">
      <c r="A97" s="4" t="s">
        <v>639</v>
      </c>
      <c r="B97" s="3" t="s">
        <v>26</v>
      </c>
      <c r="C97" s="3" t="s">
        <v>640</v>
      </c>
      <c r="D97" s="3" t="s">
        <v>641</v>
      </c>
      <c r="E97" s="3" t="s">
        <v>642</v>
      </c>
      <c r="F97" s="3" t="s">
        <v>643</v>
      </c>
      <c r="G97" s="3" t="s">
        <v>644</v>
      </c>
      <c r="H97" s="3" t="s">
        <v>645</v>
      </c>
      <c r="I97" s="4" t="s">
        <v>3</v>
      </c>
      <c r="J97" s="4" t="s">
        <v>123</v>
      </c>
      <c r="K97" s="4" t="s">
        <v>58</v>
      </c>
      <c r="L97" s="4" t="s">
        <v>12</v>
      </c>
      <c r="M97" s="3"/>
      <c r="N97" s="3"/>
      <c r="O97" s="3"/>
      <c r="P97" s="5"/>
      <c r="Q97" s="3"/>
    </row>
    <row r="98" spans="1:17" ht="67.95" customHeight="1">
      <c r="A98" s="4" t="s">
        <v>646</v>
      </c>
      <c r="B98" s="3" t="s">
        <v>26</v>
      </c>
      <c r="C98" s="3" t="s">
        <v>647</v>
      </c>
      <c r="D98" s="3" t="s">
        <v>648</v>
      </c>
      <c r="E98" s="3" t="s">
        <v>174</v>
      </c>
      <c r="F98" s="3" t="s">
        <v>649</v>
      </c>
      <c r="G98" s="3" t="s">
        <v>115</v>
      </c>
      <c r="H98" s="3" t="s">
        <v>650</v>
      </c>
      <c r="I98" s="4" t="s">
        <v>3</v>
      </c>
      <c r="J98" s="4" t="s">
        <v>74</v>
      </c>
      <c r="K98" s="4" t="s">
        <v>58</v>
      </c>
      <c r="L98" s="4" t="s">
        <v>12</v>
      </c>
      <c r="M98" s="3"/>
      <c r="N98" s="3"/>
      <c r="O98" s="3"/>
      <c r="P98" s="5"/>
      <c r="Q98" s="3"/>
    </row>
    <row r="99" spans="1:17" ht="67.95" customHeight="1">
      <c r="A99" s="4" t="s">
        <v>651</v>
      </c>
      <c r="B99" s="3" t="s">
        <v>26</v>
      </c>
      <c r="C99" s="3" t="s">
        <v>652</v>
      </c>
      <c r="D99" s="3" t="s">
        <v>653</v>
      </c>
      <c r="E99" s="3" t="s">
        <v>654</v>
      </c>
      <c r="F99" s="3" t="s">
        <v>655</v>
      </c>
      <c r="G99" s="3" t="s">
        <v>656</v>
      </c>
      <c r="H99" s="3" t="s">
        <v>657</v>
      </c>
      <c r="I99" s="4" t="s">
        <v>3</v>
      </c>
      <c r="J99" s="4" t="s">
        <v>66</v>
      </c>
      <c r="K99" s="4" t="s">
        <v>58</v>
      </c>
      <c r="L99" s="4" t="s">
        <v>12</v>
      </c>
      <c r="M99" s="3"/>
      <c r="N99" s="3"/>
      <c r="O99" s="3"/>
      <c r="P99" s="5"/>
      <c r="Q99" s="3"/>
    </row>
    <row r="100" spans="1:17" ht="67.95" customHeight="1">
      <c r="A100" s="4" t="s">
        <v>658</v>
      </c>
      <c r="B100" s="3" t="s">
        <v>26</v>
      </c>
      <c r="C100" s="3" t="s">
        <v>652</v>
      </c>
      <c r="D100" s="3" t="s">
        <v>659</v>
      </c>
      <c r="E100" s="3" t="s">
        <v>654</v>
      </c>
      <c r="F100" s="3" t="s">
        <v>660</v>
      </c>
      <c r="G100" s="3" t="s">
        <v>661</v>
      </c>
      <c r="H100" s="3" t="s">
        <v>662</v>
      </c>
      <c r="I100" s="4" t="s">
        <v>3</v>
      </c>
      <c r="J100" s="4" t="s">
        <v>66</v>
      </c>
      <c r="K100" s="4" t="s">
        <v>58</v>
      </c>
      <c r="L100" s="4" t="s">
        <v>12</v>
      </c>
      <c r="M100" s="3"/>
      <c r="N100" s="3"/>
      <c r="O100" s="3"/>
      <c r="P100" s="5"/>
      <c r="Q100" s="3"/>
    </row>
    <row r="101" spans="1:17" ht="67.95" customHeight="1">
      <c r="A101" s="4" t="s">
        <v>663</v>
      </c>
      <c r="B101" s="3" t="s">
        <v>26</v>
      </c>
      <c r="C101" s="3" t="s">
        <v>664</v>
      </c>
      <c r="D101" s="3" t="s">
        <v>665</v>
      </c>
      <c r="E101" s="3" t="s">
        <v>666</v>
      </c>
      <c r="F101" s="3" t="s">
        <v>667</v>
      </c>
      <c r="G101" s="3" t="s">
        <v>668</v>
      </c>
      <c r="H101" s="3" t="s">
        <v>669</v>
      </c>
      <c r="I101" s="4" t="s">
        <v>18</v>
      </c>
      <c r="J101" s="4" t="s">
        <v>74</v>
      </c>
      <c r="K101" s="4" t="s">
        <v>58</v>
      </c>
      <c r="L101" s="4" t="s">
        <v>12</v>
      </c>
      <c r="M101" s="3"/>
      <c r="N101" s="3"/>
      <c r="O101" s="3"/>
      <c r="P101" s="5"/>
      <c r="Q101" s="3"/>
    </row>
    <row r="102" spans="1:17" ht="67.95" customHeight="1">
      <c r="A102" s="4" t="s">
        <v>670</v>
      </c>
      <c r="B102" s="3" t="s">
        <v>26</v>
      </c>
      <c r="C102" s="3" t="s">
        <v>671</v>
      </c>
      <c r="D102" s="3" t="s">
        <v>672</v>
      </c>
      <c r="E102" s="3" t="s">
        <v>673</v>
      </c>
      <c r="F102" s="3" t="s">
        <v>674</v>
      </c>
      <c r="G102" s="3" t="s">
        <v>675</v>
      </c>
      <c r="H102" s="3" t="s">
        <v>676</v>
      </c>
      <c r="I102" s="4" t="s">
        <v>3</v>
      </c>
      <c r="J102" s="4" t="s">
        <v>81</v>
      </c>
      <c r="K102" s="4" t="s">
        <v>58</v>
      </c>
      <c r="L102" s="4" t="s">
        <v>12</v>
      </c>
      <c r="M102" s="3"/>
      <c r="N102" s="3"/>
      <c r="O102" s="3"/>
      <c r="P102" s="5"/>
      <c r="Q102" s="3"/>
    </row>
    <row r="103" spans="1:17" ht="67.95" customHeight="1">
      <c r="A103" s="4" t="s">
        <v>677</v>
      </c>
      <c r="B103" s="3" t="s">
        <v>26</v>
      </c>
      <c r="C103" s="3" t="s">
        <v>678</v>
      </c>
      <c r="D103" s="3" t="s">
        <v>679</v>
      </c>
      <c r="E103" s="3" t="s">
        <v>680</v>
      </c>
      <c r="F103" s="3" t="s">
        <v>681</v>
      </c>
      <c r="G103" s="3" t="s">
        <v>682</v>
      </c>
      <c r="H103" s="3" t="s">
        <v>683</v>
      </c>
      <c r="I103" s="4" t="s">
        <v>3</v>
      </c>
      <c r="J103" s="4" t="s">
        <v>88</v>
      </c>
      <c r="K103" s="4" t="s">
        <v>58</v>
      </c>
      <c r="L103" s="4" t="s">
        <v>12</v>
      </c>
      <c r="M103" s="3"/>
      <c r="N103" s="3"/>
      <c r="O103" s="3"/>
      <c r="P103" s="5"/>
      <c r="Q103" s="3"/>
    </row>
    <row r="104" spans="1:17" ht="67.95" customHeight="1">
      <c r="A104" s="4" t="s">
        <v>684</v>
      </c>
      <c r="B104" s="3" t="s">
        <v>26</v>
      </c>
      <c r="C104" s="3" t="s">
        <v>685</v>
      </c>
      <c r="D104" s="3" t="s">
        <v>686</v>
      </c>
      <c r="E104" s="3" t="s">
        <v>687</v>
      </c>
      <c r="F104" s="3" t="s">
        <v>688</v>
      </c>
      <c r="G104" s="3" t="s">
        <v>689</v>
      </c>
      <c r="H104" s="3" t="s">
        <v>690</v>
      </c>
      <c r="I104" s="4" t="s">
        <v>3</v>
      </c>
      <c r="J104" s="4" t="s">
        <v>88</v>
      </c>
      <c r="K104" s="4" t="s">
        <v>58</v>
      </c>
      <c r="L104" s="4" t="s">
        <v>12</v>
      </c>
      <c r="M104" s="3"/>
      <c r="N104" s="3"/>
      <c r="O104" s="3"/>
      <c r="P104" s="5"/>
      <c r="Q104" s="3"/>
    </row>
    <row r="105" spans="1:17" ht="67.95" customHeight="1">
      <c r="A105" s="4" t="s">
        <v>691</v>
      </c>
      <c r="B105" s="3" t="s">
        <v>26</v>
      </c>
      <c r="C105" s="3" t="s">
        <v>457</v>
      </c>
      <c r="D105" s="3" t="s">
        <v>692</v>
      </c>
      <c r="E105" s="3" t="s">
        <v>693</v>
      </c>
      <c r="F105" s="3" t="s">
        <v>694</v>
      </c>
      <c r="G105" s="3" t="s">
        <v>695</v>
      </c>
      <c r="H105" s="3" t="s">
        <v>696</v>
      </c>
      <c r="I105" s="4" t="s">
        <v>4</v>
      </c>
      <c r="J105" s="4" t="s">
        <v>66</v>
      </c>
      <c r="K105" s="4" t="s">
        <v>58</v>
      </c>
      <c r="L105" s="4" t="s">
        <v>12</v>
      </c>
      <c r="M105" s="3"/>
      <c r="N105" s="3"/>
      <c r="O105" s="3"/>
      <c r="P105" s="5"/>
      <c r="Q105" s="3"/>
    </row>
    <row r="106" spans="1:17" ht="67.95" customHeight="1">
      <c r="A106" s="4" t="s">
        <v>697</v>
      </c>
      <c r="B106" s="3" t="s">
        <v>26</v>
      </c>
      <c r="C106" s="3" t="s">
        <v>698</v>
      </c>
      <c r="D106" s="3" t="s">
        <v>699</v>
      </c>
      <c r="E106" s="3" t="s">
        <v>700</v>
      </c>
      <c r="F106" s="3" t="s">
        <v>701</v>
      </c>
      <c r="G106" s="3" t="s">
        <v>702</v>
      </c>
      <c r="H106" s="3" t="s">
        <v>703</v>
      </c>
      <c r="I106" s="4" t="s">
        <v>18</v>
      </c>
      <c r="J106" s="4" t="s">
        <v>66</v>
      </c>
      <c r="K106" s="4" t="s">
        <v>58</v>
      </c>
      <c r="L106" s="4" t="s">
        <v>12</v>
      </c>
      <c r="M106" s="3"/>
      <c r="N106" s="3"/>
      <c r="O106" s="3"/>
      <c r="P106" s="5"/>
      <c r="Q106" s="3"/>
    </row>
    <row r="107" spans="1:17" ht="67.95" customHeight="1">
      <c r="A107" s="4" t="s">
        <v>704</v>
      </c>
      <c r="B107" s="3" t="s">
        <v>28</v>
      </c>
      <c r="C107" s="3" t="s">
        <v>705</v>
      </c>
      <c r="D107" s="3" t="s">
        <v>706</v>
      </c>
      <c r="E107" s="3" t="s">
        <v>707</v>
      </c>
      <c r="F107" s="3" t="s">
        <v>708</v>
      </c>
      <c r="G107" s="3" t="s">
        <v>709</v>
      </c>
      <c r="H107" s="3" t="s">
        <v>710</v>
      </c>
      <c r="I107" s="4" t="s">
        <v>3</v>
      </c>
      <c r="J107" s="4" t="s">
        <v>74</v>
      </c>
      <c r="K107" s="4" t="s">
        <v>58</v>
      </c>
      <c r="L107" s="4" t="s">
        <v>12</v>
      </c>
      <c r="M107" s="3"/>
      <c r="N107" s="3"/>
      <c r="O107" s="3"/>
      <c r="P107" s="5"/>
      <c r="Q107" s="3"/>
    </row>
    <row r="108" spans="1:17" ht="67.95" customHeight="1">
      <c r="A108" s="4" t="s">
        <v>711</v>
      </c>
      <c r="B108" s="3" t="s">
        <v>28</v>
      </c>
      <c r="C108" s="3" t="s">
        <v>712</v>
      </c>
      <c r="D108" s="3" t="s">
        <v>713</v>
      </c>
      <c r="E108" s="3" t="s">
        <v>714</v>
      </c>
      <c r="F108" s="3" t="s">
        <v>715</v>
      </c>
      <c r="G108" s="3" t="s">
        <v>716</v>
      </c>
      <c r="H108" s="3" t="s">
        <v>717</v>
      </c>
      <c r="I108" s="4" t="s">
        <v>4</v>
      </c>
      <c r="J108" s="4" t="s">
        <v>74</v>
      </c>
      <c r="K108" s="4" t="s">
        <v>58</v>
      </c>
      <c r="L108" s="4" t="s">
        <v>12</v>
      </c>
      <c r="M108" s="3"/>
      <c r="N108" s="3"/>
      <c r="O108" s="3"/>
      <c r="P108" s="5"/>
      <c r="Q108" s="3"/>
    </row>
    <row r="109" spans="1:17" ht="67.95" customHeight="1">
      <c r="A109" s="4" t="s">
        <v>718</v>
      </c>
      <c r="B109" s="3" t="s">
        <v>28</v>
      </c>
      <c r="C109" s="3" t="s">
        <v>719</v>
      </c>
      <c r="D109" s="3" t="s">
        <v>720</v>
      </c>
      <c r="E109" s="3" t="s">
        <v>721</v>
      </c>
      <c r="F109" s="3" t="s">
        <v>722</v>
      </c>
      <c r="G109" s="3" t="s">
        <v>719</v>
      </c>
      <c r="H109" s="3" t="s">
        <v>723</v>
      </c>
      <c r="I109" s="4" t="s">
        <v>3</v>
      </c>
      <c r="J109" s="4" t="s">
        <v>123</v>
      </c>
      <c r="K109" s="4" t="s">
        <v>58</v>
      </c>
      <c r="L109" s="4" t="s">
        <v>12</v>
      </c>
      <c r="M109" s="3"/>
      <c r="N109" s="3"/>
      <c r="O109" s="3"/>
      <c r="P109" s="5"/>
      <c r="Q109" s="3"/>
    </row>
    <row r="110" spans="1:17" ht="67.95" customHeight="1">
      <c r="A110" s="4" t="s">
        <v>724</v>
      </c>
      <c r="B110" s="3" t="s">
        <v>28</v>
      </c>
      <c r="C110" s="3" t="s">
        <v>586</v>
      </c>
      <c r="D110" s="3" t="s">
        <v>725</v>
      </c>
      <c r="E110" s="3" t="s">
        <v>726</v>
      </c>
      <c r="F110" s="3" t="s">
        <v>727</v>
      </c>
      <c r="G110" s="3" t="s">
        <v>728</v>
      </c>
      <c r="H110" s="3" t="s">
        <v>729</v>
      </c>
      <c r="I110" s="4" t="s">
        <v>3</v>
      </c>
      <c r="J110" s="4" t="s">
        <v>81</v>
      </c>
      <c r="K110" s="4" t="s">
        <v>58</v>
      </c>
      <c r="L110" s="4" t="s">
        <v>12</v>
      </c>
      <c r="M110" s="3"/>
      <c r="N110" s="3"/>
      <c r="O110" s="3"/>
      <c r="P110" s="5"/>
      <c r="Q110" s="3"/>
    </row>
    <row r="111" spans="1:17" ht="67.95" customHeight="1">
      <c r="A111" s="4" t="s">
        <v>730</v>
      </c>
      <c r="B111" s="3" t="s">
        <v>28</v>
      </c>
      <c r="C111" s="3" t="s">
        <v>731</v>
      </c>
      <c r="D111" s="3" t="s">
        <v>732</v>
      </c>
      <c r="E111" s="3" t="s">
        <v>733</v>
      </c>
      <c r="F111" s="3" t="s">
        <v>734</v>
      </c>
      <c r="G111" s="3" t="s">
        <v>735</v>
      </c>
      <c r="H111" s="3" t="s">
        <v>736</v>
      </c>
      <c r="I111" s="4" t="s">
        <v>3</v>
      </c>
      <c r="J111" s="4" t="s">
        <v>66</v>
      </c>
      <c r="K111" s="4" t="s">
        <v>58</v>
      </c>
      <c r="L111" s="4" t="s">
        <v>12</v>
      </c>
      <c r="M111" s="3"/>
      <c r="N111" s="3"/>
      <c r="O111" s="3"/>
      <c r="P111" s="5"/>
      <c r="Q111" s="3"/>
    </row>
    <row r="112" spans="1:17" ht="67.95" customHeight="1">
      <c r="A112" s="4" t="s">
        <v>737</v>
      </c>
      <c r="B112" s="3" t="s">
        <v>28</v>
      </c>
      <c r="C112" s="3" t="s">
        <v>738</v>
      </c>
      <c r="D112" s="3" t="s">
        <v>739</v>
      </c>
      <c r="E112" s="3" t="s">
        <v>740</v>
      </c>
      <c r="F112" s="3" t="s">
        <v>741</v>
      </c>
      <c r="G112" s="3" t="s">
        <v>742</v>
      </c>
      <c r="H112" s="3" t="s">
        <v>743</v>
      </c>
      <c r="I112" s="4" t="s">
        <v>3</v>
      </c>
      <c r="J112" s="4" t="s">
        <v>74</v>
      </c>
      <c r="K112" s="4" t="s">
        <v>58</v>
      </c>
      <c r="L112" s="4" t="s">
        <v>12</v>
      </c>
      <c r="M112" s="3"/>
      <c r="N112" s="3"/>
      <c r="O112" s="3"/>
      <c r="P112" s="5"/>
      <c r="Q112" s="3"/>
    </row>
    <row r="113" spans="1:17" ht="67.95" customHeight="1">
      <c r="A113" s="4" t="s">
        <v>744</v>
      </c>
      <c r="B113" s="3" t="s">
        <v>28</v>
      </c>
      <c r="C113" s="3" t="s">
        <v>438</v>
      </c>
      <c r="D113" s="3" t="s">
        <v>745</v>
      </c>
      <c r="E113" s="3" t="s">
        <v>746</v>
      </c>
      <c r="F113" s="3" t="s">
        <v>747</v>
      </c>
      <c r="G113" s="3" t="s">
        <v>748</v>
      </c>
      <c r="H113" s="3" t="s">
        <v>749</v>
      </c>
      <c r="I113" s="4" t="s">
        <v>3</v>
      </c>
      <c r="J113" s="4" t="s">
        <v>123</v>
      </c>
      <c r="K113" s="4" t="s">
        <v>58</v>
      </c>
      <c r="L113" s="4" t="s">
        <v>12</v>
      </c>
      <c r="M113" s="3"/>
      <c r="N113" s="3"/>
      <c r="O113" s="3"/>
      <c r="P113" s="5"/>
      <c r="Q113" s="3"/>
    </row>
    <row r="114" spans="1:17" ht="67.95" customHeight="1">
      <c r="A114" s="4" t="s">
        <v>750</v>
      </c>
      <c r="B114" s="3" t="s">
        <v>28</v>
      </c>
      <c r="C114" s="3" t="s">
        <v>751</v>
      </c>
      <c r="D114" s="3" t="s">
        <v>752</v>
      </c>
      <c r="E114" s="3" t="s">
        <v>753</v>
      </c>
      <c r="F114" s="3" t="s">
        <v>754</v>
      </c>
      <c r="G114" s="3" t="s">
        <v>755</v>
      </c>
      <c r="H114" s="3" t="s">
        <v>756</v>
      </c>
      <c r="I114" s="4" t="s">
        <v>3</v>
      </c>
      <c r="J114" s="4" t="s">
        <v>66</v>
      </c>
      <c r="K114" s="4" t="s">
        <v>58</v>
      </c>
      <c r="L114" s="4" t="s">
        <v>12</v>
      </c>
      <c r="M114" s="3"/>
      <c r="N114" s="3"/>
      <c r="O114" s="3"/>
      <c r="P114" s="5"/>
      <c r="Q114" s="3"/>
    </row>
    <row r="115" spans="1:17" ht="67.95" customHeight="1">
      <c r="A115" s="4" t="s">
        <v>757</v>
      </c>
      <c r="B115" s="3" t="s">
        <v>28</v>
      </c>
      <c r="C115" s="3" t="s">
        <v>758</v>
      </c>
      <c r="D115" s="3" t="s">
        <v>759</v>
      </c>
      <c r="E115" s="3" t="s">
        <v>760</v>
      </c>
      <c r="F115" s="3" t="s">
        <v>761</v>
      </c>
      <c r="G115" s="3" t="s">
        <v>762</v>
      </c>
      <c r="H115" s="3" t="s">
        <v>763</v>
      </c>
      <c r="I115" s="4" t="s">
        <v>3</v>
      </c>
      <c r="J115" s="4" t="s">
        <v>66</v>
      </c>
      <c r="K115" s="4" t="s">
        <v>58</v>
      </c>
      <c r="L115" s="4" t="s">
        <v>12</v>
      </c>
      <c r="M115" s="3"/>
      <c r="N115" s="3"/>
      <c r="O115" s="3"/>
      <c r="P115" s="5"/>
      <c r="Q115" s="3"/>
    </row>
    <row r="116" spans="1:17" ht="67.95" customHeight="1">
      <c r="A116" s="4" t="s">
        <v>764</v>
      </c>
      <c r="B116" s="3" t="s">
        <v>28</v>
      </c>
      <c r="C116" s="3" t="s">
        <v>765</v>
      </c>
      <c r="D116" s="3" t="s">
        <v>766</v>
      </c>
      <c r="E116" s="3" t="s">
        <v>760</v>
      </c>
      <c r="F116" s="3" t="s">
        <v>767</v>
      </c>
      <c r="G116" s="3" t="s">
        <v>661</v>
      </c>
      <c r="H116" s="3" t="s">
        <v>768</v>
      </c>
      <c r="I116" s="4" t="s">
        <v>3</v>
      </c>
      <c r="J116" s="4" t="s">
        <v>66</v>
      </c>
      <c r="K116" s="4" t="s">
        <v>58</v>
      </c>
      <c r="L116" s="4" t="s">
        <v>12</v>
      </c>
      <c r="M116" s="3"/>
      <c r="N116" s="3"/>
      <c r="O116" s="3"/>
      <c r="P116" s="5"/>
      <c r="Q116" s="3"/>
    </row>
    <row r="117" spans="1:17" ht="67.95" customHeight="1">
      <c r="A117" s="4" t="s">
        <v>769</v>
      </c>
      <c r="B117" s="3" t="s">
        <v>28</v>
      </c>
      <c r="C117" s="3" t="s">
        <v>770</v>
      </c>
      <c r="D117" s="3" t="s">
        <v>771</v>
      </c>
      <c r="E117" s="3" t="s">
        <v>772</v>
      </c>
      <c r="F117" s="3" t="s">
        <v>773</v>
      </c>
      <c r="G117" s="3" t="s">
        <v>774</v>
      </c>
      <c r="H117" s="3" t="s">
        <v>775</v>
      </c>
      <c r="I117" s="4" t="s">
        <v>3</v>
      </c>
      <c r="J117" s="4" t="s">
        <v>74</v>
      </c>
      <c r="K117" s="4" t="s">
        <v>58</v>
      </c>
      <c r="L117" s="4" t="s">
        <v>12</v>
      </c>
      <c r="M117" s="3"/>
      <c r="N117" s="3"/>
      <c r="O117" s="3"/>
      <c r="P117" s="5"/>
      <c r="Q117" s="3"/>
    </row>
    <row r="118" spans="1:17" ht="67.95" customHeight="1">
      <c r="A118" s="4" t="s">
        <v>776</v>
      </c>
      <c r="B118" s="3" t="s">
        <v>28</v>
      </c>
      <c r="C118" s="3" t="s">
        <v>777</v>
      </c>
      <c r="D118" s="3" t="s">
        <v>778</v>
      </c>
      <c r="E118" s="3" t="s">
        <v>779</v>
      </c>
      <c r="F118" s="3" t="s">
        <v>780</v>
      </c>
      <c r="G118" s="3" t="s">
        <v>781</v>
      </c>
      <c r="H118" s="3" t="s">
        <v>782</v>
      </c>
      <c r="I118" s="4" t="s">
        <v>3</v>
      </c>
      <c r="J118" s="4" t="s">
        <v>66</v>
      </c>
      <c r="K118" s="4" t="s">
        <v>58</v>
      </c>
      <c r="L118" s="4" t="s">
        <v>12</v>
      </c>
      <c r="M118" s="3"/>
      <c r="N118" s="3"/>
      <c r="O118" s="3"/>
      <c r="P118" s="5"/>
      <c r="Q118" s="3"/>
    </row>
    <row r="119" spans="1:17" ht="67.95" customHeight="1">
      <c r="A119" s="4" t="s">
        <v>783</v>
      </c>
      <c r="B119" s="3" t="s">
        <v>28</v>
      </c>
      <c r="C119" s="3" t="s">
        <v>784</v>
      </c>
      <c r="D119" s="3" t="s">
        <v>785</v>
      </c>
      <c r="E119" s="3" t="s">
        <v>242</v>
      </c>
      <c r="F119" s="3" t="s">
        <v>248</v>
      </c>
      <c r="G119" s="3" t="s">
        <v>249</v>
      </c>
      <c r="H119" s="3" t="s">
        <v>786</v>
      </c>
      <c r="I119" s="4" t="s">
        <v>4</v>
      </c>
      <c r="J119" s="4" t="s">
        <v>81</v>
      </c>
      <c r="K119" s="4" t="s">
        <v>58</v>
      </c>
      <c r="L119" s="4" t="s">
        <v>12</v>
      </c>
      <c r="M119" s="3"/>
      <c r="N119" s="3"/>
      <c r="O119" s="3"/>
      <c r="P119" s="5"/>
      <c r="Q119" s="3"/>
    </row>
    <row r="120" spans="1:17" ht="67.95" customHeight="1">
      <c r="A120" s="4" t="s">
        <v>787</v>
      </c>
      <c r="B120" s="3" t="s">
        <v>28</v>
      </c>
      <c r="C120" s="3" t="s">
        <v>788</v>
      </c>
      <c r="D120" s="3" t="s">
        <v>789</v>
      </c>
      <c r="E120" s="3" t="s">
        <v>790</v>
      </c>
      <c r="F120" s="3" t="s">
        <v>791</v>
      </c>
      <c r="G120" s="3" t="s">
        <v>792</v>
      </c>
      <c r="H120" s="3" t="s">
        <v>793</v>
      </c>
      <c r="I120" s="4" t="s">
        <v>3</v>
      </c>
      <c r="J120" s="4" t="s">
        <v>66</v>
      </c>
      <c r="K120" s="4" t="s">
        <v>58</v>
      </c>
      <c r="L120" s="4" t="s">
        <v>12</v>
      </c>
      <c r="M120" s="3"/>
      <c r="N120" s="3"/>
      <c r="O120" s="3"/>
      <c r="P120" s="5"/>
      <c r="Q120" s="3"/>
    </row>
    <row r="121" spans="1:17" ht="67.95" customHeight="1">
      <c r="A121" s="4" t="s">
        <v>794</v>
      </c>
      <c r="B121" s="3" t="s">
        <v>30</v>
      </c>
      <c r="C121" s="3" t="s">
        <v>795</v>
      </c>
      <c r="D121" s="3" t="s">
        <v>796</v>
      </c>
      <c r="E121" s="3" t="s">
        <v>113</v>
      </c>
      <c r="F121" s="3" t="s">
        <v>797</v>
      </c>
      <c r="G121" s="3" t="s">
        <v>798</v>
      </c>
      <c r="H121" s="3" t="s">
        <v>799</v>
      </c>
      <c r="I121" s="4" t="s">
        <v>4</v>
      </c>
      <c r="J121" s="4" t="s">
        <v>74</v>
      </c>
      <c r="K121" s="4" t="s">
        <v>58</v>
      </c>
      <c r="L121" s="4" t="s">
        <v>12</v>
      </c>
      <c r="M121" s="3"/>
      <c r="N121" s="3"/>
      <c r="O121" s="3"/>
      <c r="P121" s="5"/>
      <c r="Q121" s="3"/>
    </row>
    <row r="122" spans="1:17" ht="67.95" customHeight="1">
      <c r="A122" s="4" t="s">
        <v>800</v>
      </c>
      <c r="B122" s="3" t="s">
        <v>30</v>
      </c>
      <c r="C122" s="3" t="s">
        <v>801</v>
      </c>
      <c r="D122" s="3" t="s">
        <v>802</v>
      </c>
      <c r="E122" s="3" t="s">
        <v>803</v>
      </c>
      <c r="F122" s="3" t="s">
        <v>804</v>
      </c>
      <c r="G122" s="3" t="s">
        <v>805</v>
      </c>
      <c r="H122" s="3" t="s">
        <v>806</v>
      </c>
      <c r="I122" s="4" t="s">
        <v>4</v>
      </c>
      <c r="J122" s="4" t="s">
        <v>74</v>
      </c>
      <c r="K122" s="4" t="s">
        <v>58</v>
      </c>
      <c r="L122" s="4" t="s">
        <v>12</v>
      </c>
      <c r="M122" s="3"/>
      <c r="N122" s="3"/>
      <c r="O122" s="3"/>
      <c r="P122" s="5"/>
      <c r="Q122" s="3"/>
    </row>
    <row r="123" spans="1:17" ht="67.95" customHeight="1">
      <c r="A123" s="4" t="s">
        <v>807</v>
      </c>
      <c r="B123" s="3" t="s">
        <v>30</v>
      </c>
      <c r="C123" s="3" t="s">
        <v>808</v>
      </c>
      <c r="D123" s="3" t="s">
        <v>809</v>
      </c>
      <c r="E123" s="3" t="s">
        <v>810</v>
      </c>
      <c r="F123" s="3" t="s">
        <v>811</v>
      </c>
      <c r="G123" s="3" t="s">
        <v>812</v>
      </c>
      <c r="H123" s="3" t="s">
        <v>813</v>
      </c>
      <c r="I123" s="4" t="s">
        <v>18</v>
      </c>
      <c r="J123" s="4" t="s">
        <v>74</v>
      </c>
      <c r="K123" s="4" t="s">
        <v>58</v>
      </c>
      <c r="L123" s="4" t="s">
        <v>12</v>
      </c>
      <c r="M123" s="3"/>
      <c r="N123" s="3"/>
      <c r="O123" s="3"/>
      <c r="P123" s="5"/>
      <c r="Q123" s="3"/>
    </row>
    <row r="124" spans="1:17" ht="67.95" customHeight="1">
      <c r="A124" s="4" t="s">
        <v>814</v>
      </c>
      <c r="B124" s="3" t="s">
        <v>30</v>
      </c>
      <c r="C124" s="3" t="s">
        <v>815</v>
      </c>
      <c r="D124" s="3" t="s">
        <v>816</v>
      </c>
      <c r="E124" s="3" t="s">
        <v>817</v>
      </c>
      <c r="F124" s="3" t="s">
        <v>818</v>
      </c>
      <c r="G124" s="3" t="s">
        <v>819</v>
      </c>
      <c r="H124" s="3" t="s">
        <v>820</v>
      </c>
      <c r="I124" s="4" t="s">
        <v>4</v>
      </c>
      <c r="J124" s="4" t="s">
        <v>74</v>
      </c>
      <c r="K124" s="4" t="s">
        <v>58</v>
      </c>
      <c r="L124" s="4" t="s">
        <v>12</v>
      </c>
      <c r="M124" s="3"/>
      <c r="N124" s="3"/>
      <c r="O124" s="3"/>
      <c r="P124" s="5"/>
      <c r="Q124" s="3"/>
    </row>
    <row r="125" spans="1:17" ht="67.95" customHeight="1">
      <c r="A125" s="4" t="s">
        <v>821</v>
      </c>
      <c r="B125" s="3" t="s">
        <v>30</v>
      </c>
      <c r="C125" s="3" t="s">
        <v>606</v>
      </c>
      <c r="D125" s="3" t="s">
        <v>822</v>
      </c>
      <c r="E125" s="3" t="s">
        <v>823</v>
      </c>
      <c r="F125" s="3" t="s">
        <v>824</v>
      </c>
      <c r="G125" s="3" t="s">
        <v>825</v>
      </c>
      <c r="H125" s="3" t="s">
        <v>826</v>
      </c>
      <c r="I125" s="4" t="s">
        <v>3</v>
      </c>
      <c r="J125" s="4" t="s">
        <v>123</v>
      </c>
      <c r="K125" s="4" t="s">
        <v>58</v>
      </c>
      <c r="L125" s="4" t="s">
        <v>12</v>
      </c>
      <c r="M125" s="3"/>
      <c r="N125" s="3"/>
      <c r="O125" s="3"/>
      <c r="P125" s="5"/>
      <c r="Q125" s="3"/>
    </row>
    <row r="126" spans="1:17" ht="67.95" customHeight="1">
      <c r="A126" s="4" t="s">
        <v>827</v>
      </c>
      <c r="B126" s="3" t="s">
        <v>30</v>
      </c>
      <c r="C126" s="3" t="s">
        <v>613</v>
      </c>
      <c r="D126" s="3" t="s">
        <v>828</v>
      </c>
      <c r="E126" s="3" t="s">
        <v>829</v>
      </c>
      <c r="F126" s="3" t="s">
        <v>830</v>
      </c>
      <c r="G126" s="3" t="s">
        <v>831</v>
      </c>
      <c r="H126" s="3" t="s">
        <v>832</v>
      </c>
      <c r="I126" s="4" t="s">
        <v>3</v>
      </c>
      <c r="J126" s="4" t="s">
        <v>123</v>
      </c>
      <c r="K126" s="4" t="s">
        <v>58</v>
      </c>
      <c r="L126" s="4" t="s">
        <v>12</v>
      </c>
      <c r="M126" s="3"/>
      <c r="N126" s="3"/>
      <c r="O126" s="3"/>
      <c r="P126" s="5"/>
      <c r="Q126" s="3"/>
    </row>
    <row r="127" spans="1:17" ht="67.95" customHeight="1">
      <c r="A127" s="4" t="s">
        <v>833</v>
      </c>
      <c r="B127" s="3" t="s">
        <v>30</v>
      </c>
      <c r="C127" s="3" t="s">
        <v>8</v>
      </c>
      <c r="D127" s="3" t="s">
        <v>834</v>
      </c>
      <c r="E127" s="3" t="s">
        <v>835</v>
      </c>
      <c r="F127" s="3" t="s">
        <v>836</v>
      </c>
      <c r="G127" s="3" t="s">
        <v>837</v>
      </c>
      <c r="H127" s="3" t="s">
        <v>838</v>
      </c>
      <c r="I127" s="4" t="s">
        <v>4</v>
      </c>
      <c r="J127" s="4" t="s">
        <v>66</v>
      </c>
      <c r="K127" s="4" t="s">
        <v>58</v>
      </c>
      <c r="L127" s="4" t="s">
        <v>12</v>
      </c>
      <c r="M127" s="3"/>
      <c r="N127" s="3"/>
      <c r="O127" s="3"/>
      <c r="P127" s="5"/>
      <c r="Q127" s="3"/>
    </row>
    <row r="128" spans="1:17" ht="67.95" customHeight="1">
      <c r="A128" s="4" t="s">
        <v>839</v>
      </c>
      <c r="B128" s="3" t="s">
        <v>30</v>
      </c>
      <c r="C128" s="3" t="s">
        <v>840</v>
      </c>
      <c r="D128" s="3" t="s">
        <v>841</v>
      </c>
      <c r="E128" s="3" t="s">
        <v>842</v>
      </c>
      <c r="F128" s="3" t="s">
        <v>843</v>
      </c>
      <c r="G128" s="3" t="s">
        <v>844</v>
      </c>
      <c r="H128" s="3" t="s">
        <v>845</v>
      </c>
      <c r="I128" s="4" t="s">
        <v>3</v>
      </c>
      <c r="J128" s="4" t="s">
        <v>66</v>
      </c>
      <c r="K128" s="4" t="s">
        <v>58</v>
      </c>
      <c r="L128" s="4" t="s">
        <v>12</v>
      </c>
      <c r="M128" s="3"/>
      <c r="N128" s="3"/>
      <c r="O128" s="3"/>
      <c r="P128" s="5"/>
      <c r="Q128" s="3"/>
    </row>
    <row r="129" spans="1:17" ht="67.95" customHeight="1">
      <c r="A129" s="4" t="s">
        <v>846</v>
      </c>
      <c r="B129" s="3" t="s">
        <v>31</v>
      </c>
      <c r="C129" s="3" t="s">
        <v>847</v>
      </c>
      <c r="D129" s="3" t="s">
        <v>848</v>
      </c>
      <c r="E129" s="3" t="s">
        <v>849</v>
      </c>
      <c r="F129" s="3" t="s">
        <v>850</v>
      </c>
      <c r="G129" s="3" t="s">
        <v>851</v>
      </c>
      <c r="H129" s="3" t="s">
        <v>852</v>
      </c>
      <c r="I129" s="4" t="s">
        <v>18</v>
      </c>
      <c r="J129" s="4" t="s">
        <v>74</v>
      </c>
      <c r="K129" s="4" t="s">
        <v>58</v>
      </c>
      <c r="L129" s="4" t="s">
        <v>12</v>
      </c>
      <c r="M129" s="3"/>
      <c r="N129" s="3"/>
      <c r="O129" s="3"/>
      <c r="P129" s="5"/>
      <c r="Q129" s="3"/>
    </row>
    <row r="130" spans="1:17" ht="67.95" customHeight="1">
      <c r="A130" s="4" t="s">
        <v>853</v>
      </c>
      <c r="B130" s="3" t="s">
        <v>31</v>
      </c>
      <c r="C130" s="3" t="s">
        <v>854</v>
      </c>
      <c r="D130" s="3" t="s">
        <v>855</v>
      </c>
      <c r="E130" s="3" t="s">
        <v>856</v>
      </c>
      <c r="F130" s="3" t="s">
        <v>857</v>
      </c>
      <c r="G130" s="3" t="s">
        <v>858</v>
      </c>
      <c r="H130" s="3" t="s">
        <v>859</v>
      </c>
      <c r="I130" s="4" t="s">
        <v>4</v>
      </c>
      <c r="J130" s="4" t="s">
        <v>123</v>
      </c>
      <c r="K130" s="4" t="s">
        <v>58</v>
      </c>
      <c r="L130" s="4" t="s">
        <v>12</v>
      </c>
      <c r="M130" s="3"/>
      <c r="N130" s="3"/>
      <c r="O130" s="3"/>
      <c r="P130" s="5"/>
      <c r="Q130" s="3"/>
    </row>
    <row r="131" spans="1:17" ht="67.95" customHeight="1">
      <c r="A131" s="4" t="s">
        <v>860</v>
      </c>
      <c r="B131" s="3" t="s">
        <v>31</v>
      </c>
      <c r="C131" s="3" t="s">
        <v>861</v>
      </c>
      <c r="D131" s="3" t="s">
        <v>862</v>
      </c>
      <c r="E131" s="3" t="s">
        <v>863</v>
      </c>
      <c r="F131" s="3" t="s">
        <v>864</v>
      </c>
      <c r="G131" s="3" t="s">
        <v>865</v>
      </c>
      <c r="H131" s="3" t="s">
        <v>866</v>
      </c>
      <c r="I131" s="4" t="s">
        <v>4</v>
      </c>
      <c r="J131" s="4" t="s">
        <v>404</v>
      </c>
      <c r="K131" s="4" t="s">
        <v>58</v>
      </c>
      <c r="L131" s="4" t="s">
        <v>12</v>
      </c>
      <c r="M131" s="3"/>
      <c r="N131" s="3"/>
      <c r="O131" s="3"/>
      <c r="P131" s="5"/>
      <c r="Q131" s="3"/>
    </row>
    <row r="132" spans="1:17" ht="67.95" customHeight="1">
      <c r="A132" s="4" t="s">
        <v>867</v>
      </c>
      <c r="B132" s="3" t="s">
        <v>31</v>
      </c>
      <c r="C132" s="3" t="s">
        <v>868</v>
      </c>
      <c r="D132" s="3" t="s">
        <v>869</v>
      </c>
      <c r="E132" s="3" t="s">
        <v>870</v>
      </c>
      <c r="F132" s="3" t="s">
        <v>871</v>
      </c>
      <c r="G132" s="3" t="s">
        <v>872</v>
      </c>
      <c r="H132" s="3" t="s">
        <v>873</v>
      </c>
      <c r="I132" s="4" t="s">
        <v>18</v>
      </c>
      <c r="J132" s="4" t="s">
        <v>57</v>
      </c>
      <c r="K132" s="4" t="s">
        <v>58</v>
      </c>
      <c r="L132" s="4" t="s">
        <v>12</v>
      </c>
      <c r="M132" s="3"/>
      <c r="N132" s="3"/>
      <c r="O132" s="3"/>
      <c r="P132" s="5"/>
      <c r="Q132" s="3"/>
    </row>
    <row r="133" spans="1:17" ht="67.95" customHeight="1">
      <c r="A133" s="4" t="s">
        <v>874</v>
      </c>
      <c r="B133" s="3" t="s">
        <v>31</v>
      </c>
      <c r="C133" s="3" t="s">
        <v>875</v>
      </c>
      <c r="D133" s="3" t="s">
        <v>876</v>
      </c>
      <c r="E133" s="3" t="s">
        <v>877</v>
      </c>
      <c r="F133" s="3" t="s">
        <v>878</v>
      </c>
      <c r="G133" s="3" t="s">
        <v>879</v>
      </c>
      <c r="H133" s="3" t="s">
        <v>880</v>
      </c>
      <c r="I133" s="4" t="s">
        <v>4</v>
      </c>
      <c r="J133" s="4" t="s">
        <v>123</v>
      </c>
      <c r="K133" s="4" t="s">
        <v>58</v>
      </c>
      <c r="L133" s="4" t="s">
        <v>12</v>
      </c>
      <c r="M133" s="3"/>
      <c r="N133" s="3"/>
      <c r="O133" s="3"/>
      <c r="P133" s="5"/>
      <c r="Q133" s="3"/>
    </row>
    <row r="134" spans="1:17" ht="67.95" customHeight="1">
      <c r="A134" s="4" t="s">
        <v>881</v>
      </c>
      <c r="B134" s="3" t="s">
        <v>31</v>
      </c>
      <c r="C134" s="3" t="s">
        <v>882</v>
      </c>
      <c r="D134" s="3" t="s">
        <v>883</v>
      </c>
      <c r="E134" s="3" t="s">
        <v>884</v>
      </c>
      <c r="F134" s="3" t="s">
        <v>885</v>
      </c>
      <c r="G134" s="3" t="s">
        <v>886</v>
      </c>
      <c r="H134" s="3" t="s">
        <v>887</v>
      </c>
      <c r="I134" s="4" t="s">
        <v>3</v>
      </c>
      <c r="J134" s="4" t="s">
        <v>81</v>
      </c>
      <c r="K134" s="4" t="s">
        <v>58</v>
      </c>
      <c r="L134" s="4" t="s">
        <v>12</v>
      </c>
      <c r="M134" s="3"/>
      <c r="N134" s="3"/>
      <c r="O134" s="3"/>
      <c r="P134" s="5"/>
      <c r="Q134" s="3"/>
    </row>
    <row r="135" spans="1:17" ht="67.95" customHeight="1">
      <c r="A135" s="4" t="s">
        <v>888</v>
      </c>
      <c r="B135" s="3" t="s">
        <v>31</v>
      </c>
      <c r="C135" s="3" t="s">
        <v>93</v>
      </c>
      <c r="D135" s="3" t="s">
        <v>889</v>
      </c>
      <c r="E135" s="3" t="s">
        <v>890</v>
      </c>
      <c r="F135" s="3" t="s">
        <v>891</v>
      </c>
      <c r="G135" s="3" t="s">
        <v>892</v>
      </c>
      <c r="H135" s="3" t="s">
        <v>893</v>
      </c>
      <c r="I135" s="4" t="s">
        <v>3</v>
      </c>
      <c r="J135" s="4" t="s">
        <v>894</v>
      </c>
      <c r="K135" s="4" t="s">
        <v>58</v>
      </c>
      <c r="L135" s="4" t="s">
        <v>12</v>
      </c>
      <c r="M135" s="3"/>
      <c r="N135" s="3"/>
      <c r="O135" s="3"/>
      <c r="P135" s="5"/>
      <c r="Q135" s="3"/>
    </row>
    <row r="136" spans="1:17" ht="67.95" customHeight="1">
      <c r="A136" s="4" t="s">
        <v>895</v>
      </c>
      <c r="B136" s="3" t="s">
        <v>32</v>
      </c>
      <c r="C136" s="3" t="s">
        <v>896</v>
      </c>
      <c r="D136" s="3" t="s">
        <v>897</v>
      </c>
      <c r="E136" s="3" t="s">
        <v>898</v>
      </c>
      <c r="F136" s="3" t="s">
        <v>899</v>
      </c>
      <c r="G136" s="3" t="s">
        <v>900</v>
      </c>
      <c r="H136" s="3" t="s">
        <v>901</v>
      </c>
      <c r="I136" s="4" t="s">
        <v>4</v>
      </c>
      <c r="J136" s="4" t="s">
        <v>109</v>
      </c>
      <c r="K136" s="4" t="s">
        <v>58</v>
      </c>
      <c r="L136" s="4" t="s">
        <v>12</v>
      </c>
      <c r="M136" s="3"/>
      <c r="N136" s="3"/>
      <c r="O136" s="3"/>
      <c r="P136" s="5"/>
      <c r="Q136" s="3"/>
    </row>
    <row r="137" spans="1:17" ht="67.95" customHeight="1">
      <c r="A137" s="4" t="s">
        <v>902</v>
      </c>
      <c r="B137" s="3" t="s">
        <v>32</v>
      </c>
      <c r="C137" s="3" t="s">
        <v>903</v>
      </c>
      <c r="D137" s="3" t="s">
        <v>904</v>
      </c>
      <c r="E137" s="3" t="s">
        <v>905</v>
      </c>
      <c r="F137" s="3" t="s">
        <v>906</v>
      </c>
      <c r="G137" s="3" t="s">
        <v>907</v>
      </c>
      <c r="H137" s="3" t="s">
        <v>908</v>
      </c>
      <c r="I137" s="4" t="s">
        <v>18</v>
      </c>
      <c r="J137" s="4" t="s">
        <v>109</v>
      </c>
      <c r="K137" s="4" t="s">
        <v>58</v>
      </c>
      <c r="L137" s="4" t="s">
        <v>12</v>
      </c>
      <c r="M137" s="3"/>
      <c r="N137" s="3"/>
      <c r="O137" s="3"/>
      <c r="P137" s="5"/>
      <c r="Q137" s="3"/>
    </row>
    <row r="138" spans="1:17" ht="67.95" customHeight="1">
      <c r="A138" s="4" t="s">
        <v>909</v>
      </c>
      <c r="B138" s="3" t="s">
        <v>32</v>
      </c>
      <c r="C138" s="3" t="s">
        <v>910</v>
      </c>
      <c r="D138" s="3" t="s">
        <v>911</v>
      </c>
      <c r="E138" s="3" t="s">
        <v>912</v>
      </c>
      <c r="F138" s="3" t="s">
        <v>913</v>
      </c>
      <c r="G138" s="3" t="s">
        <v>914</v>
      </c>
      <c r="H138" s="3" t="s">
        <v>915</v>
      </c>
      <c r="I138" s="4" t="s">
        <v>18</v>
      </c>
      <c r="J138" s="4" t="s">
        <v>109</v>
      </c>
      <c r="K138" s="4" t="s">
        <v>58</v>
      </c>
      <c r="L138" s="4" t="s">
        <v>12</v>
      </c>
      <c r="M138" s="3"/>
      <c r="N138" s="3"/>
      <c r="O138" s="3"/>
      <c r="P138" s="5"/>
      <c r="Q138" s="3"/>
    </row>
    <row r="139" spans="1:17" ht="67.95" customHeight="1">
      <c r="A139" s="4" t="s">
        <v>916</v>
      </c>
      <c r="B139" s="3" t="s">
        <v>32</v>
      </c>
      <c r="C139" s="3" t="s">
        <v>917</v>
      </c>
      <c r="D139" s="3" t="s">
        <v>918</v>
      </c>
      <c r="E139" s="3" t="s">
        <v>919</v>
      </c>
      <c r="F139" s="3" t="s">
        <v>920</v>
      </c>
      <c r="G139" s="3" t="s">
        <v>921</v>
      </c>
      <c r="H139" s="3" t="s">
        <v>922</v>
      </c>
      <c r="I139" s="4" t="s">
        <v>4</v>
      </c>
      <c r="J139" s="4" t="s">
        <v>923</v>
      </c>
      <c r="K139" s="4" t="s">
        <v>58</v>
      </c>
      <c r="L139" s="4" t="s">
        <v>12</v>
      </c>
      <c r="M139" s="3"/>
      <c r="N139" s="3"/>
      <c r="O139" s="3"/>
      <c r="P139" s="5"/>
      <c r="Q139" s="3"/>
    </row>
    <row r="140" spans="1:17" ht="67.95" customHeight="1">
      <c r="A140" s="4" t="s">
        <v>924</v>
      </c>
      <c r="B140" s="3" t="s">
        <v>32</v>
      </c>
      <c r="C140" s="3" t="s">
        <v>925</v>
      </c>
      <c r="D140" s="3" t="s">
        <v>926</v>
      </c>
      <c r="E140" s="3" t="s">
        <v>927</v>
      </c>
      <c r="F140" s="3" t="s">
        <v>928</v>
      </c>
      <c r="G140" s="3" t="s">
        <v>929</v>
      </c>
      <c r="H140" s="3" t="s">
        <v>930</v>
      </c>
      <c r="I140" s="4" t="s">
        <v>4</v>
      </c>
      <c r="J140" s="4" t="s">
        <v>923</v>
      </c>
      <c r="K140" s="4" t="s">
        <v>58</v>
      </c>
      <c r="L140" s="4" t="s">
        <v>12</v>
      </c>
      <c r="M140" s="3"/>
      <c r="N140" s="3"/>
      <c r="O140" s="3"/>
      <c r="P140" s="5"/>
      <c r="Q140" s="3"/>
    </row>
    <row r="141" spans="1:17" ht="67.95" customHeight="1">
      <c r="A141" s="4" t="s">
        <v>931</v>
      </c>
      <c r="B141" s="3" t="s">
        <v>32</v>
      </c>
      <c r="C141" s="3" t="s">
        <v>96</v>
      </c>
      <c r="D141" s="3" t="s">
        <v>932</v>
      </c>
      <c r="E141" s="3" t="s">
        <v>933</v>
      </c>
      <c r="F141" s="3" t="s">
        <v>934</v>
      </c>
      <c r="G141" s="3" t="s">
        <v>935</v>
      </c>
      <c r="H141" s="3" t="s">
        <v>936</v>
      </c>
      <c r="I141" s="4" t="s">
        <v>3</v>
      </c>
      <c r="J141" s="4" t="s">
        <v>894</v>
      </c>
      <c r="K141" s="4" t="s">
        <v>58</v>
      </c>
      <c r="L141" s="4" t="s">
        <v>12</v>
      </c>
      <c r="M141" s="3"/>
      <c r="N141" s="3"/>
      <c r="O141" s="3"/>
      <c r="P141" s="5"/>
      <c r="Q141" s="3"/>
    </row>
    <row r="142" spans="1:17" ht="67.95" customHeight="1">
      <c r="A142" s="4" t="s">
        <v>937</v>
      </c>
      <c r="B142" s="3" t="s">
        <v>32</v>
      </c>
      <c r="C142" s="3" t="s">
        <v>165</v>
      </c>
      <c r="D142" s="3" t="s">
        <v>938</v>
      </c>
      <c r="E142" s="3" t="s">
        <v>939</v>
      </c>
      <c r="F142" s="3" t="s">
        <v>940</v>
      </c>
      <c r="G142" s="3" t="s">
        <v>941</v>
      </c>
      <c r="H142" s="3" t="s">
        <v>942</v>
      </c>
      <c r="I142" s="4" t="s">
        <v>4</v>
      </c>
      <c r="J142" s="4" t="s">
        <v>88</v>
      </c>
      <c r="K142" s="4" t="s">
        <v>58</v>
      </c>
      <c r="L142" s="4" t="s">
        <v>12</v>
      </c>
      <c r="M142" s="3"/>
      <c r="N142" s="3"/>
      <c r="O142" s="3"/>
      <c r="P142" s="5"/>
      <c r="Q142" s="3"/>
    </row>
    <row r="143" spans="1:17" ht="67.95" customHeight="1">
      <c r="A143" s="4" t="s">
        <v>943</v>
      </c>
      <c r="B143" s="3" t="s">
        <v>32</v>
      </c>
      <c r="C143" s="3" t="s">
        <v>944</v>
      </c>
      <c r="D143" s="3" t="s">
        <v>945</v>
      </c>
      <c r="E143" s="3" t="s">
        <v>946</v>
      </c>
      <c r="F143" s="3" t="s">
        <v>947</v>
      </c>
      <c r="G143" s="3" t="s">
        <v>948</v>
      </c>
      <c r="H143" s="3" t="s">
        <v>949</v>
      </c>
      <c r="I143" s="4" t="s">
        <v>18</v>
      </c>
      <c r="J143" s="4" t="s">
        <v>923</v>
      </c>
      <c r="K143" s="4" t="s">
        <v>58</v>
      </c>
      <c r="L143" s="4" t="s">
        <v>12</v>
      </c>
      <c r="M143" s="3"/>
      <c r="N143" s="3"/>
      <c r="O143" s="3"/>
      <c r="P143" s="5"/>
      <c r="Q143" s="3"/>
    </row>
    <row r="144" spans="1:17" ht="67.95" customHeight="1">
      <c r="A144" s="4" t="s">
        <v>950</v>
      </c>
      <c r="B144" s="3" t="s">
        <v>32</v>
      </c>
      <c r="C144" s="3" t="s">
        <v>951</v>
      </c>
      <c r="D144" s="3" t="s">
        <v>952</v>
      </c>
      <c r="E144" s="3" t="s">
        <v>953</v>
      </c>
      <c r="F144" s="3" t="s">
        <v>954</v>
      </c>
      <c r="G144" s="3" t="s">
        <v>955</v>
      </c>
      <c r="H144" s="3" t="s">
        <v>956</v>
      </c>
      <c r="I144" s="4" t="s">
        <v>3</v>
      </c>
      <c r="J144" s="4" t="s">
        <v>894</v>
      </c>
      <c r="K144" s="4" t="s">
        <v>58</v>
      </c>
      <c r="L144" s="4" t="s">
        <v>12</v>
      </c>
      <c r="M144" s="3"/>
      <c r="N144" s="3"/>
      <c r="O144" s="3"/>
      <c r="P144" s="5"/>
      <c r="Q144" s="3"/>
    </row>
    <row r="145" spans="1:17" ht="67.95" customHeight="1">
      <c r="A145" s="4" t="s">
        <v>957</v>
      </c>
      <c r="B145" s="3" t="s">
        <v>32</v>
      </c>
      <c r="C145" s="3" t="s">
        <v>958</v>
      </c>
      <c r="D145" s="3" t="s">
        <v>959</v>
      </c>
      <c r="E145" s="3" t="s">
        <v>960</v>
      </c>
      <c r="F145" s="3" t="s">
        <v>961</v>
      </c>
      <c r="G145" s="3" t="s">
        <v>962</v>
      </c>
      <c r="H145" s="3" t="s">
        <v>963</v>
      </c>
      <c r="I145" s="4" t="s">
        <v>18</v>
      </c>
      <c r="J145" s="4" t="s">
        <v>109</v>
      </c>
      <c r="K145" s="4" t="s">
        <v>58</v>
      </c>
      <c r="L145" s="4" t="s">
        <v>12</v>
      </c>
      <c r="M145" s="3"/>
      <c r="N145" s="3"/>
      <c r="O145" s="3"/>
      <c r="P145" s="5"/>
      <c r="Q145" s="3"/>
    </row>
    <row r="146" spans="1:17" ht="67.95" customHeight="1">
      <c r="A146" s="4" t="s">
        <v>964</v>
      </c>
      <c r="B146" s="3" t="s">
        <v>32</v>
      </c>
      <c r="C146" s="3" t="s">
        <v>965</v>
      </c>
      <c r="D146" s="3" t="s">
        <v>966</v>
      </c>
      <c r="E146" s="3" t="s">
        <v>967</v>
      </c>
      <c r="F146" s="3" t="s">
        <v>968</v>
      </c>
      <c r="G146" s="3" t="s">
        <v>969</v>
      </c>
      <c r="H146" s="3" t="s">
        <v>970</v>
      </c>
      <c r="I146" s="4" t="s">
        <v>4</v>
      </c>
      <c r="J146" s="4" t="s">
        <v>404</v>
      </c>
      <c r="K146" s="4" t="s">
        <v>58</v>
      </c>
      <c r="L146" s="4" t="s">
        <v>12</v>
      </c>
      <c r="M146" s="3"/>
      <c r="N146" s="3"/>
      <c r="O146" s="3"/>
      <c r="P146" s="5"/>
      <c r="Q146" s="3"/>
    </row>
    <row r="147" spans="1:17" ht="67.95" customHeight="1">
      <c r="A147" s="4" t="s">
        <v>971</v>
      </c>
      <c r="B147" s="3" t="s">
        <v>32</v>
      </c>
      <c r="C147" s="3" t="s">
        <v>972</v>
      </c>
      <c r="D147" s="3" t="s">
        <v>973</v>
      </c>
      <c r="E147" s="3" t="s">
        <v>974</v>
      </c>
      <c r="F147" s="3" t="s">
        <v>975</v>
      </c>
      <c r="G147" s="3" t="s">
        <v>976</v>
      </c>
      <c r="H147" s="3" t="s">
        <v>977</v>
      </c>
      <c r="I147" s="4" t="s">
        <v>3</v>
      </c>
      <c r="J147" s="4" t="s">
        <v>894</v>
      </c>
      <c r="K147" s="4" t="s">
        <v>58</v>
      </c>
      <c r="L147" s="4" t="s">
        <v>12</v>
      </c>
      <c r="M147" s="3"/>
      <c r="N147" s="3"/>
      <c r="O147" s="3"/>
      <c r="P147" s="5"/>
      <c r="Q147" s="3"/>
    </row>
    <row r="148" spans="1:17" ht="67.95" customHeight="1">
      <c r="A148" s="4" t="s">
        <v>978</v>
      </c>
      <c r="B148" s="3" t="s">
        <v>32</v>
      </c>
      <c r="C148" s="3" t="s">
        <v>979</v>
      </c>
      <c r="D148" s="3" t="s">
        <v>980</v>
      </c>
      <c r="E148" s="3" t="s">
        <v>981</v>
      </c>
      <c r="F148" s="3" t="s">
        <v>982</v>
      </c>
      <c r="G148" s="3" t="s">
        <v>6</v>
      </c>
      <c r="H148" s="3" t="s">
        <v>983</v>
      </c>
      <c r="I148" s="4" t="s">
        <v>4</v>
      </c>
      <c r="J148" s="4" t="s">
        <v>57</v>
      </c>
      <c r="K148" s="4" t="s">
        <v>58</v>
      </c>
      <c r="L148" s="4" t="s">
        <v>12</v>
      </c>
      <c r="M148" s="3"/>
      <c r="N148" s="3"/>
      <c r="O148" s="3"/>
      <c r="P148" s="5"/>
      <c r="Q148" s="3"/>
    </row>
  </sheetData>
  <mergeCells count="2">
    <mergeCell ref="A1:Q1"/>
    <mergeCell ref="A2:Q2"/>
  </mergeCells>
  <conditionalFormatting sqref="L5:L148">
    <cfRule type="containsText" dxfId="6" priority="1" operator="containsText" text="Passed"/>
    <cfRule type="containsText" dxfId="5" priority="2" operator="containsText" text="Failed"/>
    <cfRule type="containsText" dxfId="4" priority="3" operator="containsText" text="Blocked"/>
    <cfRule type="containsText" dxfId="3" priority="4" operator="containsText" text="Not Run"/>
  </conditionalFormatting>
  <conditionalFormatting sqref="I5:I148">
    <cfRule type="containsText" dxfId="2" priority="5" operator="containsText" text="P0"/>
    <cfRule type="containsText" dxfId="1" priority="6" operator="containsText" text="P1"/>
    <cfRule type="containsText" dxfId="0" priority="7" operator="containsText" text="P2"/>
  </conditionalFormatting>
  <dataValidations count="4">
    <dataValidation type="list" sqref="I5:I148" xr:uid="{00000000-0002-0000-0100-000000000000}">
      <formula1>"P0,P1,P2,P3"</formula1>
    </dataValidation>
    <dataValidation type="list" sqref="J5:J148" xr:uid="{00000000-0002-0000-0100-000001000000}">
      <formula1>"Functional,Integration,Regression,Negative,Recovery,Boundary,Usability,Compatibility,Performance,Security"</formula1>
    </dataValidation>
    <dataValidation type="list" sqref="K5:K148" xr:uid="{00000000-0002-0000-0100-000002000000}">
      <formula1>"Android,Web,All"</formula1>
    </dataValidation>
    <dataValidation type="list" sqref="L5:L148" xr:uid="{00000000-0002-0000-0100-000003000000}">
      <formula1>"Not Run,Passed,Failed,Blocked,N/A"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showGridLines="0" workbookViewId="0"/>
  </sheetViews>
  <sheetFormatPr defaultRowHeight="13.8"/>
  <cols>
    <col min="1" max="1" width="10.59765625" customWidth="1"/>
    <col min="2" max="2" width="15" customWidth="1"/>
    <col min="3" max="4" width="27.5" customWidth="1"/>
    <col min="5" max="5" width="25" customWidth="1"/>
    <col min="6" max="6" width="26.19921875" customWidth="1"/>
  </cols>
  <sheetData>
    <row r="1" spans="1:6" ht="34.049999999999997" customHeight="1">
      <c r="A1" s="23" t="s">
        <v>984</v>
      </c>
      <c r="B1" s="23"/>
      <c r="C1" s="23"/>
      <c r="D1" s="23"/>
      <c r="E1" s="23"/>
      <c r="F1" s="23"/>
    </row>
    <row r="2" spans="1:6" ht="14.4">
      <c r="A2" s="26" t="s">
        <v>985</v>
      </c>
      <c r="B2" s="26"/>
      <c r="C2" s="26"/>
      <c r="D2" s="26"/>
      <c r="E2" s="26"/>
      <c r="F2" s="26"/>
    </row>
    <row r="4" spans="1:6">
      <c r="A4" s="21" t="s">
        <v>986</v>
      </c>
      <c r="B4" s="21" t="s">
        <v>987</v>
      </c>
      <c r="C4" s="21" t="s">
        <v>988</v>
      </c>
      <c r="D4" s="21" t="s">
        <v>989</v>
      </c>
      <c r="E4" s="21" t="s">
        <v>990</v>
      </c>
      <c r="F4" s="21" t="s">
        <v>991</v>
      </c>
    </row>
    <row r="5" spans="1:6" ht="42" customHeight="1">
      <c r="A5" s="21" t="s">
        <v>992</v>
      </c>
      <c r="B5" s="21" t="s">
        <v>148</v>
      </c>
      <c r="C5" s="21" t="s">
        <v>151</v>
      </c>
      <c r="D5" s="21" t="s">
        <v>993</v>
      </c>
      <c r="E5" s="21" t="s">
        <v>994</v>
      </c>
      <c r="F5" s="21" t="s">
        <v>995</v>
      </c>
    </row>
    <row r="6" spans="1:6" ht="42" customHeight="1">
      <c r="A6" s="21" t="s">
        <v>996</v>
      </c>
      <c r="B6" s="21" t="s">
        <v>997</v>
      </c>
      <c r="C6" s="21" t="s">
        <v>188</v>
      </c>
      <c r="D6" s="21" t="s">
        <v>998</v>
      </c>
      <c r="E6" s="21" t="s">
        <v>999</v>
      </c>
      <c r="F6" s="21"/>
    </row>
    <row r="7" spans="1:6" ht="42" customHeight="1">
      <c r="A7" s="21" t="s">
        <v>1000</v>
      </c>
      <c r="B7" s="21" t="s">
        <v>997</v>
      </c>
      <c r="C7" s="21" t="s">
        <v>193</v>
      </c>
      <c r="D7" s="21" t="s">
        <v>1001</v>
      </c>
      <c r="E7" s="21" t="s">
        <v>1002</v>
      </c>
      <c r="F7" s="21"/>
    </row>
    <row r="8" spans="1:6" ht="42" customHeight="1">
      <c r="A8" s="21" t="s">
        <v>1003</v>
      </c>
      <c r="B8" s="21" t="s">
        <v>997</v>
      </c>
      <c r="C8" s="21" t="s">
        <v>198</v>
      </c>
      <c r="D8" s="21" t="s">
        <v>1004</v>
      </c>
      <c r="E8" s="21" t="s">
        <v>1005</v>
      </c>
      <c r="F8" s="21"/>
    </row>
    <row r="9" spans="1:6" ht="42" customHeight="1">
      <c r="A9" s="21" t="s">
        <v>1006</v>
      </c>
      <c r="B9" s="21" t="s">
        <v>997</v>
      </c>
      <c r="C9" s="21" t="s">
        <v>203</v>
      </c>
      <c r="D9" s="21" t="s">
        <v>1007</v>
      </c>
      <c r="E9" s="21" t="s">
        <v>1008</v>
      </c>
      <c r="F9" s="21"/>
    </row>
    <row r="10" spans="1:6" ht="42" customHeight="1">
      <c r="A10" s="21" t="s">
        <v>1009</v>
      </c>
      <c r="B10" s="21" t="s">
        <v>1010</v>
      </c>
      <c r="C10" s="21" t="s">
        <v>1011</v>
      </c>
      <c r="D10" s="21" t="s">
        <v>1012</v>
      </c>
      <c r="E10" s="21" t="s">
        <v>1013</v>
      </c>
      <c r="F10" s="21"/>
    </row>
    <row r="11" spans="1:6" ht="42" customHeight="1">
      <c r="A11" s="21" t="s">
        <v>1014</v>
      </c>
      <c r="B11" s="21" t="s">
        <v>1010</v>
      </c>
      <c r="C11" s="21" t="s">
        <v>1015</v>
      </c>
      <c r="D11" s="21" t="s">
        <v>1016</v>
      </c>
      <c r="E11" s="21" t="s">
        <v>1017</v>
      </c>
      <c r="F11" s="21"/>
    </row>
    <row r="12" spans="1:6" ht="42" customHeight="1">
      <c r="A12" s="21" t="s">
        <v>1018</v>
      </c>
      <c r="B12" s="21" t="s">
        <v>1010</v>
      </c>
      <c r="C12" s="21" t="s">
        <v>1019</v>
      </c>
      <c r="D12" s="21" t="s">
        <v>1020</v>
      </c>
      <c r="E12" s="21" t="s">
        <v>1021</v>
      </c>
      <c r="F12" s="21" t="s">
        <v>1022</v>
      </c>
    </row>
    <row r="13" spans="1:6" ht="42" customHeight="1">
      <c r="A13" s="21" t="s">
        <v>1023</v>
      </c>
      <c r="B13" s="21" t="s">
        <v>1024</v>
      </c>
      <c r="C13" s="21" t="s">
        <v>244</v>
      </c>
      <c r="D13" s="21" t="s">
        <v>1025</v>
      </c>
      <c r="E13" s="21" t="s">
        <v>1026</v>
      </c>
      <c r="F13" s="21"/>
    </row>
    <row r="14" spans="1:6" ht="42" customHeight="1">
      <c r="A14" s="21" t="s">
        <v>1027</v>
      </c>
      <c r="B14" s="21" t="s">
        <v>1028</v>
      </c>
      <c r="C14" s="21" t="s">
        <v>262</v>
      </c>
      <c r="D14" s="21" t="s">
        <v>1029</v>
      </c>
      <c r="E14" s="21" t="s">
        <v>1030</v>
      </c>
      <c r="F14" s="21"/>
    </row>
    <row r="15" spans="1:6" ht="42" customHeight="1">
      <c r="A15" s="21" t="s">
        <v>1031</v>
      </c>
      <c r="B15" s="21" t="s">
        <v>1032</v>
      </c>
      <c r="C15" s="21" t="s">
        <v>1033</v>
      </c>
      <c r="D15" s="21" t="s">
        <v>1034</v>
      </c>
      <c r="E15" s="21" t="s">
        <v>1035</v>
      </c>
      <c r="F15" s="21"/>
    </row>
    <row r="16" spans="1:6" ht="42" customHeight="1">
      <c r="A16" s="21" t="s">
        <v>1036</v>
      </c>
      <c r="B16" s="21" t="s">
        <v>1037</v>
      </c>
      <c r="C16" s="21" t="s">
        <v>1038</v>
      </c>
      <c r="D16" s="21" t="s">
        <v>1039</v>
      </c>
      <c r="E16" s="21" t="s">
        <v>81</v>
      </c>
      <c r="F16" s="21"/>
    </row>
    <row r="17" spans="1:6" ht="42" customHeight="1">
      <c r="A17" s="21" t="s">
        <v>1040</v>
      </c>
      <c r="B17" s="21" t="s">
        <v>1041</v>
      </c>
      <c r="C17" s="21" t="s">
        <v>719</v>
      </c>
      <c r="D17" s="21" t="s">
        <v>1042</v>
      </c>
      <c r="E17" s="21" t="s">
        <v>1043</v>
      </c>
      <c r="F17" s="21"/>
    </row>
    <row r="18" spans="1:6" ht="42" customHeight="1">
      <c r="A18" s="21" t="s">
        <v>1044</v>
      </c>
      <c r="B18" s="21" t="s">
        <v>1041</v>
      </c>
      <c r="C18" s="21" t="s">
        <v>712</v>
      </c>
      <c r="D18" s="21" t="s">
        <v>1045</v>
      </c>
      <c r="E18" s="21" t="s">
        <v>1046</v>
      </c>
      <c r="F18" s="21"/>
    </row>
    <row r="19" spans="1:6" ht="42" customHeight="1">
      <c r="A19" s="21" t="s">
        <v>1047</v>
      </c>
      <c r="B19" s="21" t="s">
        <v>1048</v>
      </c>
      <c r="C19" s="21" t="s">
        <v>421</v>
      </c>
      <c r="D19" s="21" t="s">
        <v>1049</v>
      </c>
      <c r="E19" s="21" t="s">
        <v>1050</v>
      </c>
      <c r="F19" s="21" t="s">
        <v>1051</v>
      </c>
    </row>
    <row r="20" spans="1:6" ht="42" customHeight="1">
      <c r="A20" s="21" t="s">
        <v>1052</v>
      </c>
      <c r="B20" s="21" t="s">
        <v>335</v>
      </c>
      <c r="C20" s="21" t="s">
        <v>1053</v>
      </c>
      <c r="D20" s="21" t="s">
        <v>1054</v>
      </c>
      <c r="E20" s="21" t="s">
        <v>1055</v>
      </c>
      <c r="F20" s="21" t="s">
        <v>1056</v>
      </c>
    </row>
    <row r="21" spans="1:6" ht="42" customHeight="1">
      <c r="A21" s="21" t="s">
        <v>1057</v>
      </c>
      <c r="B21" s="21" t="s">
        <v>1058</v>
      </c>
      <c r="C21" s="21" t="s">
        <v>565</v>
      </c>
      <c r="D21" s="21" t="s">
        <v>1059</v>
      </c>
      <c r="E21" s="21" t="s">
        <v>1060</v>
      </c>
      <c r="F21" s="21" t="s">
        <v>1061</v>
      </c>
    </row>
    <row r="22" spans="1:6" ht="42" customHeight="1">
      <c r="A22" s="21" t="s">
        <v>1062</v>
      </c>
      <c r="B22" s="21" t="s">
        <v>1058</v>
      </c>
      <c r="C22" s="21" t="s">
        <v>1063</v>
      </c>
      <c r="D22" s="21" t="s">
        <v>1064</v>
      </c>
      <c r="E22" s="21" t="s">
        <v>1060</v>
      </c>
      <c r="F22" s="21" t="s">
        <v>1065</v>
      </c>
    </row>
    <row r="23" spans="1:6" ht="42" customHeight="1">
      <c r="A23" s="21" t="s">
        <v>1066</v>
      </c>
      <c r="B23" s="21" t="s">
        <v>1067</v>
      </c>
      <c r="C23" s="21" t="s">
        <v>134</v>
      </c>
      <c r="D23" s="21" t="s">
        <v>1068</v>
      </c>
      <c r="E23" s="21" t="s">
        <v>1069</v>
      </c>
      <c r="F23" s="21" t="s">
        <v>1070</v>
      </c>
    </row>
    <row r="24" spans="1:6" ht="42" customHeight="1">
      <c r="A24" s="21" t="s">
        <v>1071</v>
      </c>
      <c r="B24" s="21" t="s">
        <v>586</v>
      </c>
      <c r="C24" s="21" t="s">
        <v>406</v>
      </c>
      <c r="D24" s="21" t="s">
        <v>1072</v>
      </c>
      <c r="E24" s="21" t="s">
        <v>1073</v>
      </c>
      <c r="F24" s="21" t="s">
        <v>1074</v>
      </c>
    </row>
    <row r="25" spans="1:6" ht="42" customHeight="1">
      <c r="A25" s="21" t="s">
        <v>1075</v>
      </c>
      <c r="B25" s="21" t="s">
        <v>424</v>
      </c>
      <c r="C25" s="21" t="s">
        <v>1076</v>
      </c>
      <c r="D25" s="21" t="s">
        <v>1077</v>
      </c>
      <c r="E25" s="21" t="s">
        <v>1078</v>
      </c>
      <c r="F25" s="21"/>
    </row>
    <row r="26" spans="1:6" ht="42" customHeight="1">
      <c r="A26" s="21" t="s">
        <v>1079</v>
      </c>
      <c r="B26" s="21" t="s">
        <v>424</v>
      </c>
      <c r="C26" s="21" t="s">
        <v>93</v>
      </c>
      <c r="D26" s="21" t="s">
        <v>1080</v>
      </c>
      <c r="E26" s="21" t="s">
        <v>1081</v>
      </c>
      <c r="F26" s="21"/>
    </row>
    <row r="27" spans="1:6" ht="42" customHeight="1">
      <c r="A27" s="21" t="s">
        <v>1082</v>
      </c>
      <c r="B27" s="21" t="s">
        <v>424</v>
      </c>
      <c r="C27" s="21" t="s">
        <v>1083</v>
      </c>
      <c r="D27" s="21" t="s">
        <v>1084</v>
      </c>
      <c r="E27" s="21" t="s">
        <v>1085</v>
      </c>
      <c r="F27" s="21"/>
    </row>
    <row r="28" spans="1:6" ht="42" customHeight="1">
      <c r="A28" s="21" t="s">
        <v>1086</v>
      </c>
      <c r="B28" s="21" t="s">
        <v>1087</v>
      </c>
      <c r="C28" s="21" t="s">
        <v>1088</v>
      </c>
      <c r="D28" s="21" t="s">
        <v>1089</v>
      </c>
      <c r="E28" s="21" t="s">
        <v>1090</v>
      </c>
      <c r="F28" s="21"/>
    </row>
    <row r="29" spans="1:6" ht="42" customHeight="1">
      <c r="A29" s="21" t="s">
        <v>1091</v>
      </c>
      <c r="B29" s="21" t="s">
        <v>1087</v>
      </c>
      <c r="C29" s="21" t="s">
        <v>1092</v>
      </c>
      <c r="D29" s="21" t="s">
        <v>689</v>
      </c>
      <c r="E29" s="21" t="s">
        <v>1093</v>
      </c>
      <c r="F29" s="21"/>
    </row>
    <row r="30" spans="1:6" ht="42" customHeight="1">
      <c r="A30" s="21" t="s">
        <v>1094</v>
      </c>
      <c r="B30" s="21" t="s">
        <v>815</v>
      </c>
      <c r="C30" s="21" t="s">
        <v>1095</v>
      </c>
      <c r="D30" s="21" t="s">
        <v>1096</v>
      </c>
      <c r="E30" s="21" t="s">
        <v>1097</v>
      </c>
      <c r="F30" s="21"/>
    </row>
    <row r="31" spans="1:6" ht="42" customHeight="1">
      <c r="A31" s="21" t="s">
        <v>1098</v>
      </c>
      <c r="B31" s="21" t="s">
        <v>815</v>
      </c>
      <c r="C31" s="21" t="s">
        <v>1099</v>
      </c>
      <c r="D31" s="21" t="s">
        <v>875</v>
      </c>
      <c r="E31" s="21" t="s">
        <v>1100</v>
      </c>
      <c r="F31" s="21"/>
    </row>
    <row r="32" spans="1:6" ht="42" customHeight="1">
      <c r="A32" s="21" t="s">
        <v>1101</v>
      </c>
      <c r="B32" s="21" t="s">
        <v>295</v>
      </c>
      <c r="C32" s="21" t="s">
        <v>1102</v>
      </c>
      <c r="D32" s="21" t="s">
        <v>1103</v>
      </c>
      <c r="E32" s="21" t="s">
        <v>1104</v>
      </c>
      <c r="F32" s="21"/>
    </row>
    <row r="33" spans="1:6" ht="42" customHeight="1">
      <c r="A33" s="21" t="s">
        <v>1105</v>
      </c>
      <c r="B33" s="21" t="s">
        <v>295</v>
      </c>
      <c r="C33" s="21" t="s">
        <v>1106</v>
      </c>
      <c r="D33" s="21" t="s">
        <v>1107</v>
      </c>
      <c r="E33" s="21" t="s">
        <v>1108</v>
      </c>
      <c r="F33" s="21"/>
    </row>
    <row r="34" spans="1:6" ht="42" customHeight="1">
      <c r="A34" s="21" t="s">
        <v>1109</v>
      </c>
      <c r="B34" s="21" t="s">
        <v>295</v>
      </c>
      <c r="C34" s="21" t="s">
        <v>1110</v>
      </c>
      <c r="D34" s="21" t="s">
        <v>1111</v>
      </c>
      <c r="E34" s="21" t="s">
        <v>1112</v>
      </c>
      <c r="F34" s="21"/>
    </row>
    <row r="35" spans="1:6" ht="42" customHeight="1">
      <c r="A35" s="21" t="s">
        <v>1113</v>
      </c>
      <c r="B35" s="21" t="s">
        <v>1114</v>
      </c>
      <c r="C35" s="21" t="s">
        <v>479</v>
      </c>
      <c r="D35" s="21" t="s">
        <v>1115</v>
      </c>
      <c r="E35" s="21" t="s">
        <v>1116</v>
      </c>
      <c r="F35" s="21" t="s">
        <v>1117</v>
      </c>
    </row>
    <row r="36" spans="1:6" ht="42" customHeight="1">
      <c r="A36" s="21" t="s">
        <v>1118</v>
      </c>
      <c r="B36" s="21" t="s">
        <v>1114</v>
      </c>
      <c r="C36" s="21" t="s">
        <v>1119</v>
      </c>
      <c r="D36" s="21" t="s">
        <v>1120</v>
      </c>
      <c r="E36" s="21" t="s">
        <v>1121</v>
      </c>
      <c r="F36" s="21" t="s">
        <v>1122</v>
      </c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5"/>
  <sheetViews>
    <sheetView showGridLines="0" workbookViewId="0"/>
  </sheetViews>
  <sheetFormatPr defaultRowHeight="13.8"/>
  <cols>
    <col min="1" max="1" width="10" customWidth="1"/>
    <col min="2" max="2" width="21.19921875" customWidth="1"/>
    <col min="3" max="3" width="41.19921875" customWidth="1"/>
    <col min="4" max="4" width="11.8984375" customWidth="1"/>
    <col min="5" max="5" width="53.69921875" customWidth="1"/>
    <col min="6" max="6" width="12.5" customWidth="1"/>
    <col min="7" max="7" width="22.5" customWidth="1"/>
  </cols>
  <sheetData>
    <row r="1" spans="1:7" ht="34.049999999999997" customHeight="1">
      <c r="A1" s="23" t="s">
        <v>1123</v>
      </c>
      <c r="B1" s="23"/>
      <c r="C1" s="23"/>
      <c r="D1" s="23"/>
      <c r="E1" s="23"/>
      <c r="F1" s="23"/>
      <c r="G1" s="23"/>
    </row>
    <row r="4" spans="1:7" ht="27.6">
      <c r="A4" s="21" t="s">
        <v>1124</v>
      </c>
      <c r="B4" s="21" t="s">
        <v>9</v>
      </c>
      <c r="C4" s="21" t="s">
        <v>1125</v>
      </c>
      <c r="D4" s="21" t="s">
        <v>1126</v>
      </c>
      <c r="E4" s="21" t="s">
        <v>1127</v>
      </c>
      <c r="F4" s="21" t="s">
        <v>1128</v>
      </c>
      <c r="G4" s="21" t="s">
        <v>991</v>
      </c>
    </row>
    <row r="5" spans="1:7" ht="64.05" customHeight="1">
      <c r="A5" s="21" t="s">
        <v>1129</v>
      </c>
      <c r="B5" s="21" t="s">
        <v>13</v>
      </c>
      <c r="C5" s="21" t="s">
        <v>1130</v>
      </c>
      <c r="D5" s="21" t="s">
        <v>1131</v>
      </c>
      <c r="E5" s="21" t="s">
        <v>1132</v>
      </c>
      <c r="F5" s="21">
        <f>COUNTIF('Test Cases'!$B$5:$B$300,B5)</f>
        <v>7</v>
      </c>
      <c r="G5" s="21"/>
    </row>
    <row r="6" spans="1:7" ht="64.05" customHeight="1">
      <c r="A6" s="21" t="s">
        <v>1133</v>
      </c>
      <c r="B6" s="21" t="s">
        <v>15</v>
      </c>
      <c r="C6" s="21" t="s">
        <v>1134</v>
      </c>
      <c r="D6" s="21" t="s">
        <v>1131</v>
      </c>
      <c r="E6" s="21" t="s">
        <v>1135</v>
      </c>
      <c r="F6" s="21">
        <f>COUNTIF('Test Cases'!$B$5:$B$300,B6)</f>
        <v>13</v>
      </c>
      <c r="G6" s="21"/>
    </row>
    <row r="7" spans="1:7" ht="64.05" customHeight="1">
      <c r="A7" s="21" t="s">
        <v>1136</v>
      </c>
      <c r="B7" s="21" t="s">
        <v>17</v>
      </c>
      <c r="C7" s="21" t="s">
        <v>1137</v>
      </c>
      <c r="D7" s="21" t="s">
        <v>1131</v>
      </c>
      <c r="E7" s="21" t="s">
        <v>1138</v>
      </c>
      <c r="F7" s="21">
        <f>COUNTIF('Test Cases'!$B$5:$B$300,B7)</f>
        <v>18</v>
      </c>
      <c r="G7" s="21"/>
    </row>
    <row r="8" spans="1:7" ht="64.05" customHeight="1">
      <c r="A8" s="21" t="s">
        <v>1139</v>
      </c>
      <c r="B8" s="21" t="s">
        <v>20</v>
      </c>
      <c r="C8" s="21" t="s">
        <v>1140</v>
      </c>
      <c r="D8" s="21" t="s">
        <v>1131</v>
      </c>
      <c r="E8" s="21" t="s">
        <v>1141</v>
      </c>
      <c r="F8" s="21">
        <f>COUNTIF('Test Cases'!$B$5:$B$300,B8)</f>
        <v>14</v>
      </c>
      <c r="G8" s="21"/>
    </row>
    <row r="9" spans="1:7" ht="64.05" customHeight="1">
      <c r="A9" s="21" t="s">
        <v>1142</v>
      </c>
      <c r="B9" s="21" t="s">
        <v>23</v>
      </c>
      <c r="C9" s="21" t="s">
        <v>1143</v>
      </c>
      <c r="D9" s="21" t="s">
        <v>1131</v>
      </c>
      <c r="E9" s="21" t="s">
        <v>1144</v>
      </c>
      <c r="F9" s="21">
        <f>COUNTIF('Test Cases'!$B$5:$B$300,B9)</f>
        <v>10</v>
      </c>
      <c r="G9" s="21"/>
    </row>
    <row r="10" spans="1:7" ht="64.05" customHeight="1">
      <c r="A10" s="21" t="s">
        <v>1145</v>
      </c>
      <c r="B10" s="21" t="s">
        <v>24</v>
      </c>
      <c r="C10" s="21" t="s">
        <v>1146</v>
      </c>
      <c r="D10" s="21" t="s">
        <v>1131</v>
      </c>
      <c r="E10" s="21" t="s">
        <v>1147</v>
      </c>
      <c r="F10" s="21">
        <f>COUNTIF('Test Cases'!$B$5:$B$300,B10)</f>
        <v>14</v>
      </c>
      <c r="G10" s="21"/>
    </row>
    <row r="11" spans="1:7" ht="64.05" customHeight="1">
      <c r="A11" s="21" t="s">
        <v>1148</v>
      </c>
      <c r="B11" s="21" t="s">
        <v>26</v>
      </c>
      <c r="C11" s="21" t="s">
        <v>1149</v>
      </c>
      <c r="D11" s="21" t="s">
        <v>1131</v>
      </c>
      <c r="E11" s="21" t="s">
        <v>1150</v>
      </c>
      <c r="F11" s="21">
        <f>COUNTIF('Test Cases'!$B$5:$B$300,B11)</f>
        <v>26</v>
      </c>
      <c r="G11" s="21"/>
    </row>
    <row r="12" spans="1:7" ht="64.05" customHeight="1">
      <c r="A12" s="21" t="s">
        <v>1151</v>
      </c>
      <c r="B12" s="21" t="s">
        <v>28</v>
      </c>
      <c r="C12" s="21" t="s">
        <v>1152</v>
      </c>
      <c r="D12" s="21" t="s">
        <v>1131</v>
      </c>
      <c r="E12" s="21" t="s">
        <v>1153</v>
      </c>
      <c r="F12" s="21">
        <f>COUNTIF('Test Cases'!$B$5:$B$300,B12)</f>
        <v>14</v>
      </c>
      <c r="G12" s="21"/>
    </row>
    <row r="13" spans="1:7" ht="64.05" customHeight="1">
      <c r="A13" s="21" t="s">
        <v>1154</v>
      </c>
      <c r="B13" s="21" t="s">
        <v>30</v>
      </c>
      <c r="C13" s="21" t="s">
        <v>1155</v>
      </c>
      <c r="D13" s="21" t="s">
        <v>1131</v>
      </c>
      <c r="E13" s="21" t="s">
        <v>1156</v>
      </c>
      <c r="F13" s="21">
        <f>COUNTIF('Test Cases'!$B$5:$B$300,B13)</f>
        <v>8</v>
      </c>
      <c r="G13" s="21"/>
    </row>
    <row r="14" spans="1:7" ht="64.05" customHeight="1">
      <c r="A14" s="21" t="s">
        <v>1157</v>
      </c>
      <c r="B14" s="21" t="s">
        <v>31</v>
      </c>
      <c r="C14" s="21" t="s">
        <v>1158</v>
      </c>
      <c r="D14" s="21" t="s">
        <v>1131</v>
      </c>
      <c r="E14" s="21" t="s">
        <v>1159</v>
      </c>
      <c r="F14" s="21">
        <f>COUNTIF('Test Cases'!$B$5:$B$300,B14)</f>
        <v>7</v>
      </c>
      <c r="G14" s="21"/>
    </row>
    <row r="15" spans="1:7" ht="64.05" customHeight="1">
      <c r="A15" s="21" t="s">
        <v>1160</v>
      </c>
      <c r="B15" s="21" t="s">
        <v>32</v>
      </c>
      <c r="C15" s="21" t="s">
        <v>1161</v>
      </c>
      <c r="D15" s="21" t="s">
        <v>1131</v>
      </c>
      <c r="E15" s="21" t="s">
        <v>1162</v>
      </c>
      <c r="F15" s="21">
        <f>COUNTIF('Test Cases'!$B$5:$B$300,B15)</f>
        <v>13</v>
      </c>
      <c r="G15" s="21"/>
    </row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4"/>
  <sheetViews>
    <sheetView showGridLines="0" workbookViewId="0"/>
  </sheetViews>
  <sheetFormatPr defaultRowHeight="13.8"/>
  <cols>
    <col min="1" max="1" width="10.59765625" customWidth="1"/>
    <col min="2" max="2" width="27.5" customWidth="1"/>
    <col min="3" max="3" width="11.8984375" customWidth="1"/>
    <col min="4" max="4" width="11.19921875" customWidth="1"/>
    <col min="5" max="5" width="8.69921875" customWidth="1"/>
    <col min="6" max="6" width="13.69921875" customWidth="1"/>
    <col min="7" max="7" width="22.5" customWidth="1"/>
    <col min="8" max="8" width="37.5" customWidth="1"/>
    <col min="9" max="10" width="30" customWidth="1"/>
    <col min="11" max="11" width="18.69921875" customWidth="1"/>
    <col min="12" max="12" width="12.5" customWidth="1"/>
    <col min="13" max="13" width="13.09765625" customWidth="1"/>
  </cols>
  <sheetData>
    <row r="1" spans="1:13" ht="34.049999999999997" customHeight="1">
      <c r="A1" s="23" t="s">
        <v>1163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13" ht="14.4">
      <c r="A2" s="27" t="s">
        <v>1164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</row>
    <row r="4" spans="1:13">
      <c r="A4" t="s">
        <v>1165</v>
      </c>
      <c r="B4" t="s">
        <v>1166</v>
      </c>
      <c r="C4" t="s">
        <v>1167</v>
      </c>
      <c r="D4" t="s">
        <v>1168</v>
      </c>
      <c r="E4" t="s">
        <v>11</v>
      </c>
      <c r="F4" t="s">
        <v>44</v>
      </c>
      <c r="G4" t="s">
        <v>1169</v>
      </c>
      <c r="H4" t="s">
        <v>1170</v>
      </c>
      <c r="I4" t="s">
        <v>1171</v>
      </c>
      <c r="J4" t="s">
        <v>1172</v>
      </c>
      <c r="K4" t="s">
        <v>1173</v>
      </c>
      <c r="L4" t="s">
        <v>1174</v>
      </c>
      <c r="M4" t="s">
        <v>1175</v>
      </c>
    </row>
    <row r="5" spans="1:13" ht="54" customHeight="1">
      <c r="A5" s="21" t="s">
        <v>1176</v>
      </c>
      <c r="B5" s="21"/>
      <c r="C5" s="21"/>
      <c r="D5" s="21"/>
      <c r="E5" s="21"/>
      <c r="F5" s="21" t="s">
        <v>1177</v>
      </c>
      <c r="G5" s="21"/>
      <c r="H5" s="21"/>
      <c r="I5" s="21"/>
      <c r="J5" s="21"/>
      <c r="K5" s="21"/>
      <c r="L5" s="21"/>
      <c r="M5" s="22"/>
    </row>
    <row r="6" spans="1:13" ht="54" customHeight="1">
      <c r="A6" s="21" t="s">
        <v>1178</v>
      </c>
      <c r="B6" s="21"/>
      <c r="C6" s="21"/>
      <c r="D6" s="21"/>
      <c r="E6" s="21"/>
      <c r="F6" s="21" t="s">
        <v>1177</v>
      </c>
      <c r="G6" s="21"/>
      <c r="H6" s="21"/>
      <c r="I6" s="21"/>
      <c r="J6" s="21"/>
      <c r="K6" s="21"/>
      <c r="L6" s="21"/>
      <c r="M6" s="22"/>
    </row>
    <row r="7" spans="1:13" ht="54" customHeight="1">
      <c r="A7" s="21" t="s">
        <v>1179</v>
      </c>
      <c r="B7" s="21"/>
      <c r="C7" s="21"/>
      <c r="D7" s="21"/>
      <c r="E7" s="21"/>
      <c r="F7" s="21" t="s">
        <v>1177</v>
      </c>
      <c r="G7" s="21"/>
      <c r="H7" s="21"/>
      <c r="I7" s="21"/>
      <c r="J7" s="21"/>
      <c r="K7" s="21"/>
      <c r="L7" s="21"/>
      <c r="M7" s="22"/>
    </row>
    <row r="8" spans="1:13" ht="54" customHeight="1">
      <c r="A8" s="21" t="s">
        <v>1180</v>
      </c>
      <c r="B8" s="21"/>
      <c r="C8" s="21"/>
      <c r="D8" s="21"/>
      <c r="E8" s="21"/>
      <c r="F8" s="21" t="s">
        <v>1177</v>
      </c>
      <c r="G8" s="21"/>
      <c r="H8" s="21"/>
      <c r="I8" s="21"/>
      <c r="J8" s="21"/>
      <c r="K8" s="21"/>
      <c r="L8" s="21"/>
      <c r="M8" s="22"/>
    </row>
    <row r="9" spans="1:13" ht="54" customHeight="1">
      <c r="A9" s="21" t="s">
        <v>1181</v>
      </c>
      <c r="B9" s="21"/>
      <c r="C9" s="21"/>
      <c r="D9" s="21"/>
      <c r="E9" s="21"/>
      <c r="F9" s="21" t="s">
        <v>1177</v>
      </c>
      <c r="G9" s="21"/>
      <c r="H9" s="21"/>
      <c r="I9" s="21"/>
      <c r="J9" s="21"/>
      <c r="K9" s="21"/>
      <c r="L9" s="21"/>
      <c r="M9" s="22"/>
    </row>
    <row r="10" spans="1:13" ht="54" customHeight="1">
      <c r="A10" s="21" t="s">
        <v>1182</v>
      </c>
      <c r="B10" s="21"/>
      <c r="C10" s="21"/>
      <c r="D10" s="21"/>
      <c r="E10" s="21"/>
      <c r="F10" s="21" t="s">
        <v>1177</v>
      </c>
      <c r="G10" s="21"/>
      <c r="H10" s="21"/>
      <c r="I10" s="21"/>
      <c r="J10" s="21"/>
      <c r="K10" s="21"/>
      <c r="L10" s="21"/>
      <c r="M10" s="22"/>
    </row>
    <row r="11" spans="1:13" ht="54" customHeight="1">
      <c r="A11" s="21" t="s">
        <v>1183</v>
      </c>
      <c r="B11" s="21"/>
      <c r="C11" s="21"/>
      <c r="D11" s="21"/>
      <c r="E11" s="21"/>
      <c r="F11" s="21" t="s">
        <v>1177</v>
      </c>
      <c r="G11" s="21"/>
      <c r="H11" s="21"/>
      <c r="I11" s="21"/>
      <c r="J11" s="21"/>
      <c r="K11" s="21"/>
      <c r="L11" s="21"/>
      <c r="M11" s="22"/>
    </row>
    <row r="12" spans="1:13" ht="54" customHeight="1">
      <c r="A12" s="21" t="s">
        <v>1184</v>
      </c>
      <c r="B12" s="21"/>
      <c r="C12" s="21"/>
      <c r="D12" s="21"/>
      <c r="E12" s="21"/>
      <c r="F12" s="21" t="s">
        <v>1177</v>
      </c>
      <c r="G12" s="21"/>
      <c r="H12" s="21"/>
      <c r="I12" s="21"/>
      <c r="J12" s="21"/>
      <c r="K12" s="21"/>
      <c r="L12" s="21"/>
      <c r="M12" s="22"/>
    </row>
    <row r="13" spans="1:13" ht="54" customHeight="1">
      <c r="A13" s="21" t="s">
        <v>1185</v>
      </c>
      <c r="B13" s="21"/>
      <c r="C13" s="21"/>
      <c r="D13" s="21"/>
      <c r="E13" s="21"/>
      <c r="F13" s="21" t="s">
        <v>1177</v>
      </c>
      <c r="G13" s="21"/>
      <c r="H13" s="21"/>
      <c r="I13" s="21"/>
      <c r="J13" s="21"/>
      <c r="K13" s="21"/>
      <c r="L13" s="21"/>
      <c r="M13" s="22"/>
    </row>
    <row r="14" spans="1:13" ht="54" customHeight="1">
      <c r="A14" s="21" t="s">
        <v>1186</v>
      </c>
      <c r="B14" s="21"/>
      <c r="C14" s="21"/>
      <c r="D14" s="21"/>
      <c r="E14" s="21"/>
      <c r="F14" s="21" t="s">
        <v>1177</v>
      </c>
      <c r="G14" s="21"/>
      <c r="H14" s="21"/>
      <c r="I14" s="21"/>
      <c r="J14" s="21"/>
      <c r="K14" s="21"/>
      <c r="L14" s="21"/>
      <c r="M14" s="22"/>
    </row>
    <row r="15" spans="1:13" ht="54" customHeight="1">
      <c r="A15" s="21" t="s">
        <v>1187</v>
      </c>
      <c r="B15" s="21"/>
      <c r="C15" s="21"/>
      <c r="D15" s="21"/>
      <c r="E15" s="21"/>
      <c r="F15" s="21" t="s">
        <v>1177</v>
      </c>
      <c r="G15" s="21"/>
      <c r="H15" s="21"/>
      <c r="I15" s="21"/>
      <c r="J15" s="21"/>
      <c r="K15" s="21"/>
      <c r="L15" s="21"/>
      <c r="M15" s="22"/>
    </row>
    <row r="16" spans="1:13" ht="54" customHeight="1">
      <c r="A16" s="21" t="s">
        <v>1188</v>
      </c>
      <c r="B16" s="21"/>
      <c r="C16" s="21"/>
      <c r="D16" s="21"/>
      <c r="E16" s="21"/>
      <c r="F16" s="21" t="s">
        <v>1177</v>
      </c>
      <c r="G16" s="21"/>
      <c r="H16" s="21"/>
      <c r="I16" s="21"/>
      <c r="J16" s="21"/>
      <c r="K16" s="21"/>
      <c r="L16" s="21"/>
      <c r="M16" s="22"/>
    </row>
    <row r="17" spans="1:13" ht="54" customHeight="1">
      <c r="A17" s="21" t="s">
        <v>1189</v>
      </c>
      <c r="B17" s="21"/>
      <c r="C17" s="21"/>
      <c r="D17" s="21"/>
      <c r="E17" s="21"/>
      <c r="F17" s="21" t="s">
        <v>1177</v>
      </c>
      <c r="G17" s="21"/>
      <c r="H17" s="21"/>
      <c r="I17" s="21"/>
      <c r="J17" s="21"/>
      <c r="K17" s="21"/>
      <c r="L17" s="21"/>
      <c r="M17" s="22"/>
    </row>
    <row r="18" spans="1:13" ht="54" customHeight="1">
      <c r="A18" s="21" t="s">
        <v>1190</v>
      </c>
      <c r="B18" s="21"/>
      <c r="C18" s="21"/>
      <c r="D18" s="21"/>
      <c r="E18" s="21"/>
      <c r="F18" s="21" t="s">
        <v>1177</v>
      </c>
      <c r="G18" s="21"/>
      <c r="H18" s="21"/>
      <c r="I18" s="21"/>
      <c r="J18" s="21"/>
      <c r="K18" s="21"/>
      <c r="L18" s="21"/>
      <c r="M18" s="22"/>
    </row>
    <row r="19" spans="1:13" ht="54" customHeight="1">
      <c r="A19" s="21" t="s">
        <v>1191</v>
      </c>
      <c r="B19" s="21"/>
      <c r="C19" s="21"/>
      <c r="D19" s="21"/>
      <c r="E19" s="21"/>
      <c r="F19" s="21" t="s">
        <v>1177</v>
      </c>
      <c r="G19" s="21"/>
      <c r="H19" s="21"/>
      <c r="I19" s="21"/>
      <c r="J19" s="21"/>
      <c r="K19" s="21"/>
      <c r="L19" s="21"/>
      <c r="M19" s="22"/>
    </row>
    <row r="20" spans="1:13" ht="54" customHeight="1">
      <c r="A20" s="21" t="s">
        <v>1192</v>
      </c>
      <c r="B20" s="21"/>
      <c r="C20" s="21"/>
      <c r="D20" s="21"/>
      <c r="E20" s="21"/>
      <c r="F20" s="21" t="s">
        <v>1177</v>
      </c>
      <c r="G20" s="21"/>
      <c r="H20" s="21"/>
      <c r="I20" s="21"/>
      <c r="J20" s="21"/>
      <c r="K20" s="21"/>
      <c r="L20" s="21"/>
      <c r="M20" s="22"/>
    </row>
    <row r="21" spans="1:13" ht="54" customHeight="1">
      <c r="A21" s="21" t="s">
        <v>1193</v>
      </c>
      <c r="B21" s="21"/>
      <c r="C21" s="21"/>
      <c r="D21" s="21"/>
      <c r="E21" s="21"/>
      <c r="F21" s="21" t="s">
        <v>1177</v>
      </c>
      <c r="G21" s="21"/>
      <c r="H21" s="21"/>
      <c r="I21" s="21"/>
      <c r="J21" s="21"/>
      <c r="K21" s="21"/>
      <c r="L21" s="21"/>
      <c r="M21" s="22"/>
    </row>
    <row r="22" spans="1:13" ht="54" customHeight="1">
      <c r="A22" s="21" t="s">
        <v>1194</v>
      </c>
      <c r="B22" s="21"/>
      <c r="C22" s="21"/>
      <c r="D22" s="21"/>
      <c r="E22" s="21"/>
      <c r="F22" s="21" t="s">
        <v>1177</v>
      </c>
      <c r="G22" s="21"/>
      <c r="H22" s="21"/>
      <c r="I22" s="21"/>
      <c r="J22" s="21"/>
      <c r="K22" s="21"/>
      <c r="L22" s="21"/>
      <c r="M22" s="22"/>
    </row>
    <row r="23" spans="1:13" ht="54" customHeight="1">
      <c r="A23" s="21" t="s">
        <v>1195</v>
      </c>
      <c r="B23" s="21"/>
      <c r="C23" s="21"/>
      <c r="D23" s="21"/>
      <c r="E23" s="21"/>
      <c r="F23" s="21" t="s">
        <v>1177</v>
      </c>
      <c r="G23" s="21"/>
      <c r="H23" s="21"/>
      <c r="I23" s="21"/>
      <c r="J23" s="21"/>
      <c r="K23" s="21"/>
      <c r="L23" s="21"/>
      <c r="M23" s="22"/>
    </row>
    <row r="24" spans="1:13" ht="54" customHeight="1">
      <c r="A24" s="21" t="s">
        <v>1196</v>
      </c>
      <c r="B24" s="21"/>
      <c r="C24" s="21"/>
      <c r="D24" s="21"/>
      <c r="E24" s="21"/>
      <c r="F24" s="21" t="s">
        <v>1177</v>
      </c>
      <c r="G24" s="21"/>
      <c r="H24" s="21"/>
      <c r="I24" s="21"/>
      <c r="J24" s="21"/>
      <c r="K24" s="21"/>
      <c r="L24" s="21"/>
      <c r="M24" s="22"/>
    </row>
    <row r="25" spans="1:13" ht="54" customHeight="1">
      <c r="A25" s="21" t="s">
        <v>1197</v>
      </c>
      <c r="B25" s="21"/>
      <c r="C25" s="21"/>
      <c r="D25" s="21"/>
      <c r="E25" s="21"/>
      <c r="F25" s="21" t="s">
        <v>1177</v>
      </c>
      <c r="G25" s="21"/>
      <c r="H25" s="21"/>
      <c r="I25" s="21"/>
      <c r="J25" s="21"/>
      <c r="K25" s="21"/>
      <c r="L25" s="21"/>
      <c r="M25" s="22"/>
    </row>
    <row r="26" spans="1:13" ht="54" customHeight="1">
      <c r="A26" s="21" t="s">
        <v>1198</v>
      </c>
      <c r="B26" s="21"/>
      <c r="C26" s="21"/>
      <c r="D26" s="21"/>
      <c r="E26" s="21"/>
      <c r="F26" s="21" t="s">
        <v>1177</v>
      </c>
      <c r="G26" s="21"/>
      <c r="H26" s="21"/>
      <c r="I26" s="21"/>
      <c r="J26" s="21"/>
      <c r="K26" s="21"/>
      <c r="L26" s="21"/>
      <c r="M26" s="22"/>
    </row>
    <row r="27" spans="1:13" ht="54" customHeight="1">
      <c r="A27" s="21" t="s">
        <v>1199</v>
      </c>
      <c r="B27" s="21"/>
      <c r="C27" s="21"/>
      <c r="D27" s="21"/>
      <c r="E27" s="21"/>
      <c r="F27" s="21" t="s">
        <v>1177</v>
      </c>
      <c r="G27" s="21"/>
      <c r="H27" s="21"/>
      <c r="I27" s="21"/>
      <c r="J27" s="21"/>
      <c r="K27" s="21"/>
      <c r="L27" s="21"/>
      <c r="M27" s="22"/>
    </row>
    <row r="28" spans="1:13" ht="54" customHeight="1">
      <c r="A28" s="21" t="s">
        <v>1200</v>
      </c>
      <c r="B28" s="21"/>
      <c r="C28" s="21"/>
      <c r="D28" s="21"/>
      <c r="E28" s="21"/>
      <c r="F28" s="21" t="s">
        <v>1177</v>
      </c>
      <c r="G28" s="21"/>
      <c r="H28" s="21"/>
      <c r="I28" s="21"/>
      <c r="J28" s="21"/>
      <c r="K28" s="21"/>
      <c r="L28" s="21"/>
      <c r="M28" s="22"/>
    </row>
    <row r="29" spans="1:13" ht="54" customHeight="1">
      <c r="A29" s="21" t="s">
        <v>1201</v>
      </c>
      <c r="B29" s="21"/>
      <c r="C29" s="21"/>
      <c r="D29" s="21"/>
      <c r="E29" s="21"/>
      <c r="F29" s="21" t="s">
        <v>1177</v>
      </c>
      <c r="G29" s="21"/>
      <c r="H29" s="21"/>
      <c r="I29" s="21"/>
      <c r="J29" s="21"/>
      <c r="K29" s="21"/>
      <c r="L29" s="21"/>
      <c r="M29" s="22"/>
    </row>
    <row r="30" spans="1:13" ht="54" customHeight="1">
      <c r="A30" s="21" t="s">
        <v>1202</v>
      </c>
      <c r="B30" s="21"/>
      <c r="C30" s="21"/>
      <c r="D30" s="21"/>
      <c r="E30" s="21"/>
      <c r="F30" s="21" t="s">
        <v>1177</v>
      </c>
      <c r="G30" s="21"/>
      <c r="H30" s="21"/>
      <c r="I30" s="21"/>
      <c r="J30" s="21"/>
      <c r="K30" s="21"/>
      <c r="L30" s="21"/>
      <c r="M30" s="22"/>
    </row>
    <row r="31" spans="1:13" ht="54" customHeight="1">
      <c r="A31" s="21" t="s">
        <v>1203</v>
      </c>
      <c r="B31" s="21"/>
      <c r="C31" s="21"/>
      <c r="D31" s="21"/>
      <c r="E31" s="21"/>
      <c r="F31" s="21" t="s">
        <v>1177</v>
      </c>
      <c r="G31" s="21"/>
      <c r="H31" s="21"/>
      <c r="I31" s="21"/>
      <c r="J31" s="21"/>
      <c r="K31" s="21"/>
      <c r="L31" s="21"/>
      <c r="M31" s="22"/>
    </row>
    <row r="32" spans="1:13" ht="54" customHeight="1">
      <c r="A32" s="21" t="s">
        <v>1204</v>
      </c>
      <c r="B32" s="21"/>
      <c r="C32" s="21"/>
      <c r="D32" s="21"/>
      <c r="E32" s="21"/>
      <c r="F32" s="21" t="s">
        <v>1177</v>
      </c>
      <c r="G32" s="21"/>
      <c r="H32" s="21"/>
      <c r="I32" s="21"/>
      <c r="J32" s="21"/>
      <c r="K32" s="21"/>
      <c r="L32" s="21"/>
      <c r="M32" s="22"/>
    </row>
    <row r="33" spans="1:13" ht="54" customHeight="1">
      <c r="A33" s="21" t="s">
        <v>1205</v>
      </c>
      <c r="B33" s="21"/>
      <c r="C33" s="21"/>
      <c r="D33" s="21"/>
      <c r="E33" s="21"/>
      <c r="F33" s="21" t="s">
        <v>1177</v>
      </c>
      <c r="G33" s="21"/>
      <c r="H33" s="21"/>
      <c r="I33" s="21"/>
      <c r="J33" s="21"/>
      <c r="K33" s="21"/>
      <c r="L33" s="21"/>
      <c r="M33" s="22"/>
    </row>
    <row r="34" spans="1:13" ht="54" customHeight="1">
      <c r="A34" s="21" t="s">
        <v>1206</v>
      </c>
      <c r="B34" s="21"/>
      <c r="C34" s="21"/>
      <c r="D34" s="21"/>
      <c r="E34" s="21"/>
      <c r="F34" s="21" t="s">
        <v>1177</v>
      </c>
      <c r="G34" s="21"/>
      <c r="H34" s="21"/>
      <c r="I34" s="21"/>
      <c r="J34" s="21"/>
      <c r="K34" s="21"/>
      <c r="L34" s="21"/>
      <c r="M34" s="22"/>
    </row>
  </sheetData>
  <mergeCells count="2">
    <mergeCell ref="A1:M1"/>
    <mergeCell ref="A2:M2"/>
  </mergeCells>
  <dataValidations count="3">
    <dataValidation type="list" sqref="D5:D34" xr:uid="{00000000-0002-0000-0400-000000000000}">
      <formula1>"Critical,Major,Minor,Trivial"</formula1>
    </dataValidation>
    <dataValidation type="list" sqref="E5:E34" xr:uid="{00000000-0002-0000-0400-000001000000}">
      <formula1>"P0,P1,P2,P3"</formula1>
    </dataValidation>
    <dataValidation type="list" sqref="F5:F34" xr:uid="{00000000-0002-0000-0400-000002000000}">
      <formula1>"New,Assigned,In Progress,Ready to Retest,Reopened,Closed,Rejected"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5"/>
  <sheetViews>
    <sheetView showGridLines="0" workbookViewId="0"/>
  </sheetViews>
  <sheetFormatPr defaultRowHeight="13.8"/>
  <cols>
    <col min="1" max="1" width="15" customWidth="1"/>
    <col min="2" max="2" width="20" customWidth="1"/>
    <col min="3" max="3" width="77.5" customWidth="1"/>
  </cols>
  <sheetData>
    <row r="1" spans="1:6" ht="34.049999999999997" customHeight="1">
      <c r="A1" s="23" t="s">
        <v>1207</v>
      </c>
      <c r="B1" s="23"/>
      <c r="C1" s="23"/>
      <c r="D1" s="23"/>
      <c r="E1" s="23"/>
      <c r="F1" s="23"/>
    </row>
    <row r="3" spans="1:6">
      <c r="A3" s="21" t="s">
        <v>987</v>
      </c>
      <c r="B3" s="21" t="s">
        <v>1208</v>
      </c>
      <c r="C3" s="21" t="s">
        <v>1209</v>
      </c>
    </row>
    <row r="4" spans="1:6" ht="37.950000000000003" customHeight="1">
      <c r="A4" s="21" t="s">
        <v>1210</v>
      </c>
      <c r="B4" s="21" t="s">
        <v>1211</v>
      </c>
      <c r="C4" s="21" t="s">
        <v>1212</v>
      </c>
    </row>
    <row r="5" spans="1:6" ht="37.950000000000003" customHeight="1">
      <c r="A5" s="21" t="s">
        <v>1210</v>
      </c>
      <c r="B5" s="21" t="s">
        <v>1213</v>
      </c>
      <c r="C5" s="21" t="s">
        <v>1214</v>
      </c>
    </row>
    <row r="6" spans="1:6" ht="37.950000000000003" customHeight="1">
      <c r="A6" s="21" t="s">
        <v>1210</v>
      </c>
      <c r="B6" s="21" t="s">
        <v>1087</v>
      </c>
      <c r="C6" s="21" t="s">
        <v>1215</v>
      </c>
    </row>
    <row r="7" spans="1:6" ht="37.950000000000003" customHeight="1">
      <c r="A7" s="21" t="s">
        <v>1210</v>
      </c>
      <c r="B7" s="21" t="s">
        <v>1216</v>
      </c>
      <c r="C7" s="21" t="s">
        <v>1217</v>
      </c>
    </row>
    <row r="8" spans="1:6" ht="37.950000000000003" customHeight="1">
      <c r="A8" s="21" t="s">
        <v>1210</v>
      </c>
      <c r="B8" s="21" t="s">
        <v>1218</v>
      </c>
      <c r="C8" s="21" t="s">
        <v>1219</v>
      </c>
    </row>
    <row r="9" spans="1:6" ht="37.950000000000003" customHeight="1">
      <c r="A9" s="21" t="s">
        <v>11</v>
      </c>
      <c r="B9" s="21" t="s">
        <v>3</v>
      </c>
      <c r="C9" s="21" t="s">
        <v>1220</v>
      </c>
    </row>
    <row r="10" spans="1:6" ht="37.950000000000003" customHeight="1">
      <c r="A10" s="21" t="s">
        <v>11</v>
      </c>
      <c r="B10" s="21" t="s">
        <v>4</v>
      </c>
      <c r="C10" s="21" t="s">
        <v>1221</v>
      </c>
    </row>
    <row r="11" spans="1:6" ht="37.950000000000003" customHeight="1">
      <c r="A11" s="21" t="s">
        <v>11</v>
      </c>
      <c r="B11" s="21" t="s">
        <v>18</v>
      </c>
      <c r="C11" s="21" t="s">
        <v>1222</v>
      </c>
    </row>
    <row r="12" spans="1:6" ht="37.950000000000003" customHeight="1">
      <c r="A12" s="21" t="s">
        <v>11</v>
      </c>
      <c r="B12" s="21" t="s">
        <v>21</v>
      </c>
      <c r="C12" s="21" t="s">
        <v>1223</v>
      </c>
    </row>
    <row r="13" spans="1:6" ht="37.950000000000003" customHeight="1">
      <c r="A13" s="21" t="s">
        <v>44</v>
      </c>
      <c r="B13" s="21" t="s">
        <v>12</v>
      </c>
      <c r="C13" s="21" t="s">
        <v>1224</v>
      </c>
    </row>
    <row r="14" spans="1:6" ht="37.950000000000003" customHeight="1">
      <c r="A14" s="21" t="s">
        <v>44</v>
      </c>
      <c r="B14" s="21" t="s">
        <v>14</v>
      </c>
      <c r="C14" s="21" t="s">
        <v>1225</v>
      </c>
    </row>
    <row r="15" spans="1:6" ht="37.950000000000003" customHeight="1">
      <c r="A15" s="21" t="s">
        <v>44</v>
      </c>
      <c r="B15" s="21" t="s">
        <v>16</v>
      </c>
      <c r="C15" s="21" t="s">
        <v>1226</v>
      </c>
    </row>
    <row r="16" spans="1:6" ht="37.950000000000003" customHeight="1">
      <c r="A16" s="21" t="s">
        <v>44</v>
      </c>
      <c r="B16" s="21" t="s">
        <v>19</v>
      </c>
      <c r="C16" s="21" t="s">
        <v>1227</v>
      </c>
    </row>
    <row r="17" spans="1:3" ht="37.950000000000003" customHeight="1">
      <c r="A17" s="21" t="s">
        <v>44</v>
      </c>
      <c r="B17" s="21" t="s">
        <v>22</v>
      </c>
      <c r="C17" s="21" t="s">
        <v>1228</v>
      </c>
    </row>
    <row r="18" spans="1:3" ht="37.950000000000003" customHeight="1">
      <c r="A18" s="21" t="s">
        <v>1229</v>
      </c>
      <c r="B18" s="21" t="s">
        <v>1230</v>
      </c>
      <c r="C18" s="21" t="s">
        <v>1231</v>
      </c>
    </row>
    <row r="19" spans="1:3" ht="37.950000000000003" customHeight="1">
      <c r="A19" s="21" t="s">
        <v>1229</v>
      </c>
      <c r="B19" s="21" t="s">
        <v>1232</v>
      </c>
      <c r="C19" s="21" t="s">
        <v>1233</v>
      </c>
    </row>
    <row r="20" spans="1:3" ht="37.950000000000003" customHeight="1">
      <c r="A20" s="21" t="s">
        <v>1229</v>
      </c>
      <c r="B20" s="21" t="s">
        <v>1234</v>
      </c>
      <c r="C20" s="21" t="s">
        <v>1235</v>
      </c>
    </row>
    <row r="21" spans="1:3" ht="37.950000000000003" customHeight="1">
      <c r="A21" s="21" t="s">
        <v>1229</v>
      </c>
      <c r="B21" s="21" t="s">
        <v>216</v>
      </c>
      <c r="C21" s="21" t="s">
        <v>1236</v>
      </c>
    </row>
    <row r="22" spans="1:3" ht="37.950000000000003" customHeight="1">
      <c r="A22" s="21" t="s">
        <v>1237</v>
      </c>
      <c r="B22" s="21" t="s">
        <v>1238</v>
      </c>
      <c r="C22" s="21" t="s">
        <v>1239</v>
      </c>
    </row>
    <row r="23" spans="1:3" ht="37.950000000000003" customHeight="1">
      <c r="A23" s="21" t="s">
        <v>1240</v>
      </c>
      <c r="B23" s="21" t="s">
        <v>1241</v>
      </c>
      <c r="C23" s="21" t="s">
        <v>1242</v>
      </c>
    </row>
    <row r="24" spans="1:3" ht="37.950000000000003" customHeight="1">
      <c r="A24" s="21" t="s">
        <v>1243</v>
      </c>
      <c r="B24" s="21" t="s">
        <v>1244</v>
      </c>
      <c r="C24" s="21" t="s">
        <v>1245</v>
      </c>
    </row>
    <row r="25" spans="1:3" ht="37.950000000000003" customHeight="1">
      <c r="A25" s="21" t="s">
        <v>1243</v>
      </c>
      <c r="B25" s="21" t="s">
        <v>1246</v>
      </c>
      <c r="C25" s="21" t="s">
        <v>1247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Test Cases</vt:lpstr>
      <vt:lpstr>Test Data</vt:lpstr>
      <vt:lpstr>Traceability</vt:lpstr>
      <vt:lpstr>Defect Log</vt:lpstr>
      <vt:lpstr>Huong dan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2026-08-17T06:39:08Z</dcterms:modified>
</cp:coreProperties>
</file>