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\HuaMei\App_noi\be\9_10th8\speaking-ai-nextjs-backend\outputs\h20-field-test-plan-20260817\"/>
    </mc:Choice>
  </mc:AlternateContent>
  <xr:revisionPtr revIDLastSave="0" documentId="13_ncr:1_{F2A6CF65-2DDF-4136-9428-D8D702C4F4E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ashboard" sheetId="1" r:id="rId1"/>
    <sheet name="Test Cases" sheetId="2" r:id="rId2"/>
    <sheet name="Voice Matrix" sheetId="3" r:id="rId3"/>
    <sheet name="Child Plan" sheetId="4" r:id="rId4"/>
    <sheet name="Device Matrix" sheetId="5" r:id="rId5"/>
    <sheet name="Execution Log" sheetId="6" r:id="rId6"/>
    <sheet name="Acceptance" sheetId="7" r:id="rId7"/>
    <sheet name="Initial Findin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3" l="1"/>
  <c r="F10" i="4"/>
  <c r="G10" i="4"/>
  <c r="F5" i="4"/>
  <c r="C10" i="4"/>
  <c r="B10" i="4"/>
  <c r="G9" i="4"/>
  <c r="F9" i="4"/>
  <c r="G8" i="4"/>
  <c r="F8" i="4"/>
  <c r="G7" i="4"/>
  <c r="F7" i="4"/>
  <c r="G6" i="4"/>
  <c r="F6" i="4"/>
  <c r="G5" i="4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E16" i="1"/>
  <c r="E15" i="1"/>
  <c r="H14" i="1"/>
  <c r="E14" i="1"/>
  <c r="H13" i="1"/>
  <c r="E13" i="1"/>
  <c r="B13" i="1"/>
  <c r="H12" i="1"/>
  <c r="E12" i="1"/>
  <c r="B12" i="1"/>
  <c r="H11" i="1"/>
  <c r="E11" i="1"/>
  <c r="B11" i="1"/>
  <c r="H10" i="1"/>
  <c r="E10" i="1"/>
  <c r="B10" i="1"/>
  <c r="B15" i="1" s="1"/>
  <c r="B17" i="1" s="1"/>
  <c r="H9" i="1"/>
  <c r="E9" i="1"/>
  <c r="B9" i="1"/>
  <c r="G6" i="1"/>
  <c r="E6" i="1"/>
  <c r="C6" i="1"/>
  <c r="A6" i="1"/>
  <c r="B16" i="1" l="1"/>
</calcChain>
</file>

<file path=xl/sharedStrings.xml><?xml version="1.0" encoding="utf-8"?>
<sst xmlns="http://schemas.openxmlformats.org/spreadsheetml/2006/main" count="2220" uniqueCount="1164">
  <si>
    <t>INNOTRIK — APP + H20 QA DASHBOARD</t>
  </si>
  <si>
    <t>Cập nhật Status trong Test Cases và Execution Log; chỉ số sẽ tự động tính lại.</t>
  </si>
  <si>
    <t>Tổng test case</t>
  </si>
  <si>
    <t>P0</t>
  </si>
  <si>
    <t>P1</t>
  </si>
  <si>
    <t>Tổng lượt nói kế hoạch</t>
  </si>
  <si>
    <t>Status</t>
  </si>
  <si>
    <t>Số lượng</t>
  </si>
  <si>
    <t>Nhóm test</t>
  </si>
  <si>
    <t>Số test</t>
  </si>
  <si>
    <t>Kiểm tra sẵn sàng</t>
  </si>
  <si>
    <t>Giá trị</t>
  </si>
  <si>
    <t>Not Run</t>
  </si>
  <si>
    <t>Cài đặt &amp; Android</t>
  </si>
  <si>
    <t>Trẻ pilot</t>
  </si>
  <si>
    <t>Passed</t>
  </si>
  <si>
    <t>Main &amp; Bi cô</t>
  </si>
  <si>
    <t>Trẻ khuyến nghị</t>
  </si>
  <si>
    <t>Failed</t>
  </si>
  <si>
    <t>Điều hướng AI</t>
  </si>
  <si>
    <t>Phone thật yêu cầu</t>
  </si>
  <si>
    <t>Blocked</t>
  </si>
  <si>
    <t>Dịch &amp; Luyện nói</t>
  </si>
  <si>
    <t>H20 nghiệm thu</t>
  </si>
  <si>
    <t>N/A</t>
  </si>
  <si>
    <t>Chủ đề &amp; Bài học</t>
  </si>
  <si>
    <t>Automated Passed</t>
  </si>
  <si>
    <t>Từ vựng &amp; Cài đặt</t>
  </si>
  <si>
    <t>Automated Failed</t>
  </si>
  <si>
    <t>Đã thực thi</t>
  </si>
  <si>
    <t>H20 phần cứng</t>
  </si>
  <si>
    <t>Tỷ lệ thực thi</t>
  </si>
  <si>
    <t>Phi chức năng</t>
  </si>
  <si>
    <t>Tỷ lệ đạt</t>
  </si>
  <si>
    <t>INNOTRIK — TEST CASE APP + H20</t>
  </si>
  <si>
    <t>Bộ test thực địa cho Android, trợ lý Bi cô, giọng trẻ em và H20 V1. Tổng 102 test case.</t>
  </si>
  <si>
    <t>TC_ID</t>
  </si>
  <si>
    <t>Nhóm</t>
  </si>
  <si>
    <t>Tính năng</t>
  </si>
  <si>
    <t>Kịch bản</t>
  </si>
  <si>
    <t>Điều kiện trước</t>
  </si>
  <si>
    <t>Các bước</t>
  </si>
  <si>
    <t>Dữ liệu/Môi trường</t>
  </si>
  <si>
    <t>Số lần</t>
  </si>
  <si>
    <t>Kết quả mong đợi</t>
  </si>
  <si>
    <t>Chỉ số đạt</t>
  </si>
  <si>
    <t>Priority</t>
  </si>
  <si>
    <t>Loại test</t>
  </si>
  <si>
    <t>Phụ trách</t>
  </si>
  <si>
    <t>Kết quả thực tế</t>
  </si>
  <si>
    <t>Evidence</t>
  </si>
  <si>
    <t>Bug ID</t>
  </si>
  <si>
    <t>Ghi chú</t>
  </si>
  <si>
    <t>TC-001</t>
  </si>
  <si>
    <t>Cài mới</t>
  </si>
  <si>
    <t>Cài APK trên Android 7/API 24</t>
  </si>
  <si>
    <t>Máy sạch, chưa có ứng dụng</t>
  </si>
  <si>
    <t>1. Cài APK
2. Mở app
3. Cấp quyền</t>
  </si>
  <si>
    <t>Android 7/API 24</t>
  </si>
  <si>
    <t>Cài và mở thành công; không crash; giao diện dùng được.</t>
  </si>
  <si>
    <t>3/3 lần đạt</t>
  </si>
  <si>
    <t>Compatibility</t>
  </si>
  <si>
    <t>QA</t>
  </si>
  <si>
    <t>TC-002</t>
  </si>
  <si>
    <t>Nâng cấp</t>
  </si>
  <si>
    <t>Nâng từ build trước và giữ dữ liệu học</t>
  </si>
  <si>
    <t>Có tiến độ, Ngôi sao, Luyện lại và lịch sử</t>
  </si>
  <si>
    <t>1. Cài đè build mới
2. Mở lại
3. Đối chiếu dữ liệu</t>
  </si>
  <si>
    <t>Build cũ → 1.0.4+8</t>
  </si>
  <si>
    <t>Không mất hoặc nhân đôi dữ liệu người học.</t>
  </si>
  <si>
    <t>100% dữ liệu giữ đúng</t>
  </si>
  <si>
    <t>Regression</t>
  </si>
  <si>
    <t>TC-003</t>
  </si>
  <si>
    <t>Quyền micro</t>
  </si>
  <si>
    <t>Cho phép quyền micro</t>
  </si>
  <si>
    <t>Mở app; chọn Cho phép; bắt đầu một lượt nói</t>
  </si>
  <si>
    <t>RECORD_AUDIO=Allow</t>
  </si>
  <si>
    <t>Micro khởi tạo và thu được giọng nói.</t>
  </si>
  <si>
    <t>Permission</t>
  </si>
  <si>
    <t>TC-004</t>
  </si>
  <si>
    <t>Từ chối quyền micro</t>
  </si>
  <si>
    <t>Từ chối quyền; nhấn Main; mở bài cần ghi âm</t>
  </si>
  <si>
    <t>RECORD_AUDIO=Deny</t>
  </si>
  <si>
    <t>Không crash; hướng dẫn cấp quyền; không hiển thị đang ghi giả.</t>
  </si>
  <si>
    <t>0 crash</t>
  </si>
  <si>
    <t>Negative</t>
  </si>
  <si>
    <t>TC-005</t>
  </si>
  <si>
    <t>Bluetooth</t>
  </si>
  <si>
    <t>Từ chối Nearby devices trên Android 12+</t>
  </si>
  <si>
    <t>Android 12+; H20 bật</t>
  </si>
  <si>
    <t>Từ chối BLUETOOTH_SCAN/CONNECT; mở chẩn đoán H20</t>
  </si>
  <si>
    <t>Permission=Deny</t>
  </si>
  <si>
    <t>App giải thích đúng; phần học bằng mic điện thoại vẫn dùng được.</t>
  </si>
  <si>
    <t>TC-006</t>
  </si>
  <si>
    <t>Lifecycle</t>
  </si>
  <si>
    <t>Đưa app xuống nền khi đang nghe</t>
  </si>
  <si>
    <t>APK release candidate đã cài; quyền cần thiết được cấp; backend production khả dụng trừ khi test yêu cầu khác.</t>
  </si>
  <si>
    <t>Mở micro; bấm Home; chờ 15 giây; quay lại</t>
  </si>
  <si>
    <t>Foreground → background</t>
  </si>
  <si>
    <t>Dừng/giải phóng micro; quay lại không có phiên ma.</t>
  </si>
  <si>
    <t>0 phiên micro ma</t>
  </si>
  <si>
    <t>Recovery</t>
  </si>
  <si>
    <t>TC-007</t>
  </si>
  <si>
    <t>Tắt màn hình khi đang nghe</t>
  </si>
  <si>
    <t>Mở micro; khóa màn hình; nói; mở lại</t>
  </si>
  <si>
    <t>Screen off 15 giây</t>
  </si>
  <si>
    <t>Không tiếp tục nghe khi màn hình tắt; khôi phục an toàn.</t>
  </si>
  <si>
    <t>10/10 lần đạt</t>
  </si>
  <si>
    <t>TC-008</t>
  </si>
  <si>
    <t>Cập nhật</t>
  </si>
  <si>
    <t>Build thấp hơn minimum version</t>
  </si>
  <si>
    <t>Backend trả chính sách bắt buộc cập nhật</t>
  </si>
  <si>
    <t>Mở app bằng build cũ</t>
  </si>
  <si>
    <t>Update gate</t>
  </si>
  <si>
    <t>Hiện màn hình chặn cập nhật; không vào luồng học lỗi thời.</t>
  </si>
  <si>
    <t>Functional</t>
  </si>
  <si>
    <t>TC-009</t>
  </si>
  <si>
    <t>Hiển thị</t>
  </si>
  <si>
    <t>Main cố định trên các màn hình chính</t>
  </si>
  <si>
    <t>Mở Giao tiếp, Từ vựng, Chủ đề, danh sách bài, bài học</t>
  </si>
  <si>
    <t>5 màn hình</t>
  </si>
  <si>
    <t>Main nhìn thấy, không che thao tác quan trọng.</t>
  </si>
  <si>
    <t>0 màn hình bị che</t>
  </si>
  <si>
    <t>Usability</t>
  </si>
  <si>
    <t>TC-010</t>
  </si>
  <si>
    <t>Nhấn ngắn</t>
  </si>
  <si>
    <t>Mở menu trợ lý từ trạng thái rảnh</t>
  </si>
  <si>
    <t>Nhấn Main; nghe hết lời nhắc; chờ tiếng tít</t>
  </si>
  <si>
    <t>Tap Main</t>
  </si>
  <si>
    <t>Chỉ một lời nhắc; tiếng tít phát sau lời nói; micro mở sau tít.</t>
  </si>
  <si>
    <t>10/10; 0 chồng âm</t>
  </si>
  <si>
    <t>TC-011</t>
  </si>
  <si>
    <t>Chống chồng</t>
  </si>
  <si>
    <t>Nhấn Main hai lần trong 300 ms</t>
  </si>
  <si>
    <t>Double tap Main; quan sát TTS, micro và overlay</t>
  </si>
  <si>
    <t>Double tap</t>
  </si>
  <si>
    <t>Chỉ một phiên trợ lý và một phiên micro.</t>
  </si>
  <si>
    <t>0/30 phiên trùng</t>
  </si>
  <si>
    <t>Concurrency</t>
  </si>
  <si>
    <t>TC-012</t>
  </si>
  <si>
    <t>Nhấn Main khi Bi cô đang nói</t>
  </si>
  <si>
    <t>Nhấn Main; trong lúc TTS đang phát nhấn lại</t>
  </si>
  <si>
    <t>Tap during TTS</t>
  </si>
  <si>
    <t>Không mở ASR trước khi TTS/beep kết thúc; không tự nghe tiếng loa.</t>
  </si>
  <si>
    <t>0/30 self-capture</t>
  </si>
  <si>
    <t>TC-013</t>
  </si>
  <si>
    <t>Nhấn Main khi backend đang xử lý</t>
  </si>
  <si>
    <t>Nói câu; trong phase processing nhấn Main nhiều lần</t>
  </si>
  <si>
    <t>Latency 2–5 giây</t>
  </si>
  <si>
    <t>Trả busy/khóa an toàn; không tạo request trùng.</t>
  </si>
  <si>
    <t>1 request/lượt</t>
  </si>
  <si>
    <t>TC-014</t>
  </si>
  <si>
    <t>Im lặng</t>
  </si>
  <si>
    <t>Im lặng ở cửa sổ lệnh đầu</t>
  </si>
  <si>
    <t>Nhấn Main; sau tít im lặng ≥6 giây</t>
  </si>
  <si>
    <t>No speech</t>
  </si>
  <si>
    <t>Bi cô hỏi lại đúng một lần ‘Con muốn làm gì?’.</t>
  </si>
  <si>
    <t>10/10 đúng</t>
  </si>
  <si>
    <t>Timeout</t>
  </si>
  <si>
    <t>TC-015</t>
  </si>
  <si>
    <t>Tiếp tục im lặng sau lần hỏi lại</t>
  </si>
  <si>
    <t>Im lặng trong cả hai cửa sổ nghe</t>
  </si>
  <si>
    <t>No speech x2</t>
  </si>
  <si>
    <t>Đóng phiên; Main trở lại bình thường; micro được giải phóng.</t>
  </si>
  <si>
    <t>TC-016</t>
  </si>
  <si>
    <t>Nhấn giữ</t>
  </si>
  <si>
    <t>Nhấn giữ lần một trong bài học</t>
  </si>
  <si>
    <t>Đang phát hoặc ghi âm trong bài học</t>
  </si>
  <si>
    <t>Nhấn giữ Main</t>
  </si>
  <si>
    <t>Long press</t>
  </si>
  <si>
    <t>Dừng đúng hành động hiện tại; nói ‘Đã dừng’; giữ nguyên bài/câu.</t>
  </si>
  <si>
    <t>20/20; không đổi route</t>
  </si>
  <si>
    <t>TC-017</t>
  </si>
  <si>
    <t>Nhấn giữ lần hai để học tiếp</t>
  </si>
  <si>
    <t>Bài học đang paused bởi Main</t>
  </si>
  <si>
    <t>Nhấn giữ Main lần hai</t>
  </si>
  <si>
    <t>Long press resume</t>
  </si>
  <si>
    <t>Nói ‘Cùng học tiếp nhé’; tự mở lượt ghi âm mới.</t>
  </si>
  <si>
    <t>20/20 micro mở</t>
  </si>
  <si>
    <t>TC-018</t>
  </si>
  <si>
    <t>Release</t>
  </si>
  <si>
    <t>Release sau long press</t>
  </si>
  <si>
    <t>Vừa nhấn giữ Main</t>
  </si>
  <si>
    <t>Thả nút; quan sát trạng thái</t>
  </si>
  <si>
    <t>Release gesture</t>
  </si>
  <si>
    <t>Release không tạo hành động dừng/khởi động lần hai.</t>
  </si>
  <si>
    <t>0 hành động kép</t>
  </si>
  <si>
    <t>TC-019</t>
  </si>
  <si>
    <t>Lệnh trong bài</t>
  </si>
  <si>
    <t>Nói tiếp tục/nghe lại/câu sau/câu trước</t>
  </si>
  <si>
    <t>Bài học tạm dừng để nghe lệnh</t>
  </si>
  <si>
    <t>Thử từng lệnh sau tiếng tít</t>
  </si>
  <si>
    <t>4 lệnh</t>
  </si>
  <si>
    <t>Thực hiện đúng lệnh và chỉ thay đổi đúng phạm vi.</t>
  </si>
  <si>
    <t>≥95% intent đúng</t>
  </si>
  <si>
    <t>Voice intent</t>
  </si>
  <si>
    <t>TC-020</t>
  </si>
  <si>
    <t>Nói dừng lại</t>
  </si>
  <si>
    <t>Đang học bài</t>
  </si>
  <si>
    <t>Nhấn Main; nói ‘Dừng lại’</t>
  </si>
  <si>
    <t>Stop command</t>
  </si>
  <si>
    <t>Đóng hoạt động học và về đúng màn hình quy định.</t>
  </si>
  <si>
    <t>TC-021</t>
  </si>
  <si>
    <t>Tín hiệu tít</t>
  </si>
  <si>
    <t>Kiểm tra tất cả lời nói của Bi cô có beep</t>
  </si>
  <si>
    <t>Chạy menu, hỏi tuổi, chọn chủ đề/bài, retry, goodbye</t>
  </si>
  <si>
    <t>Danh sách prompt</t>
  </si>
  <si>
    <t>Beep chỉ phát sau khi prompt kết thúc và trước khi nghe trẻ.</t>
  </si>
  <si>
    <t>100% prompt cần phản hồi</t>
  </si>
  <si>
    <t>Audio timing</t>
  </si>
  <si>
    <t>TC-022</t>
  </si>
  <si>
    <t>Menu</t>
  </si>
  <si>
    <t>Chọn học theo chủ đề</t>
  </si>
  <si>
    <t>Nhấn Main; nói ‘Con muốn học theo chủ đề’</t>
  </si>
  <si>
    <t>Câu chuẩn + 3 biến thể</t>
  </si>
  <si>
    <t>Chuyển sang hỏi tuổi, không mở sai chức năng.</t>
  </si>
  <si>
    <t>≥95%</t>
  </si>
  <si>
    <t>TC-023</t>
  </si>
  <si>
    <t>Chọn học từ mới</t>
  </si>
  <si>
    <t>Nhấn Main; nói ‘Con muốn học từ mới’</t>
  </si>
  <si>
    <t>Mở Từ vựng đúng một lần.</t>
  </si>
  <si>
    <t>TC-024</t>
  </si>
  <si>
    <t>Chọn dịch một câu</t>
  </si>
  <si>
    <t>Nhấn Main; chọn dịch; nói ‘một câu’</t>
  </si>
  <si>
    <t>One sentence</t>
  </si>
  <si>
    <t>Mở đúng chế độ dịch một câu.</t>
  </si>
  <si>
    <t>TC-025</t>
  </si>
  <si>
    <t>Chọn dịch liên tục</t>
  </si>
  <si>
    <t>Nhấn Main; chọn dịch; nói ‘dịch liên tục’</t>
  </si>
  <si>
    <t>Continuous</t>
  </si>
  <si>
    <t>Mở chế độ liên tục và tự chuẩn bị lượt mới.</t>
  </si>
  <si>
    <t>TC-026</t>
  </si>
  <si>
    <t>Tuổi</t>
  </si>
  <si>
    <t>Nhận tuổi bằng số và chữ</t>
  </si>
  <si>
    <t>Lần lượt nói ‘Con 6 tuổi’, ‘Con sáu tuổi’</t>
  </si>
  <si>
    <t>4,6,9,11,14 tuổi</t>
  </si>
  <si>
    <t>Chọn đúng nhóm 3–5, 6–7, 8–10, 11–12, 13–15.</t>
  </si>
  <si>
    <t>Boundary</t>
  </si>
  <si>
    <t>TC-027</t>
  </si>
  <si>
    <t>Tuổi ngoài phạm vi</t>
  </si>
  <si>
    <t>Nói 2 tuổi và 16 tuổi</t>
  </si>
  <si>
    <t>2;16</t>
  </si>
  <si>
    <t>Không chọn sai nhóm; nhắc phạm vi hợp lệ và nghe lại.</t>
  </si>
  <si>
    <t>TC-028</t>
  </si>
  <si>
    <t>Chủ đề</t>
  </si>
  <si>
    <t>Chọn chủ đề bằng số/chữ</t>
  </si>
  <si>
    <t>Nói ‘chủ đề số 3’, ‘chủ đề ba’</t>
  </si>
  <si>
    <t>1–10</t>
  </si>
  <si>
    <t>Mở đúng chủ đề; số lượng chủ đề đọc theo dữ liệu.</t>
  </si>
  <si>
    <t>TC-029</t>
  </si>
  <si>
    <t>Chọn chủ đề ngoài phạm vi</t>
  </si>
  <si>
    <t>Nói chủ đề 0 và 11</t>
  </si>
  <si>
    <t>0;11</t>
  </si>
  <si>
    <t>Không mở nhầm; nhắc chọn 1–10.</t>
  </si>
  <si>
    <t>TC-030</t>
  </si>
  <si>
    <t>Học lại</t>
  </si>
  <si>
    <t>Chọn chủ đề đã hoàn thành và nói Có</t>
  </si>
  <si>
    <t>Có chủ đề đã hoàn thành</t>
  </si>
  <si>
    <t>Chọn chủ đề; nghe xác nhận; nói Có</t>
  </si>
  <si>
    <t>Affirmative variants</t>
  </si>
  <si>
    <t>Hỏi số bài và mở bài được chọn.</t>
  </si>
  <si>
    <t>5/5 đúng</t>
  </si>
  <si>
    <t>TC-031</t>
  </si>
  <si>
    <t>Chọn chủ đề đã hoàn thành và nói Không</t>
  </si>
  <si>
    <t>Chọn chủ đề; nói Không</t>
  </si>
  <si>
    <t>Negative variants</t>
  </si>
  <si>
    <t>Quay lại hỏi trong toàn bộ N chủ đề.</t>
  </si>
  <si>
    <t>TC-032</t>
  </si>
  <si>
    <t>Fallback</t>
  </si>
  <si>
    <t>Lệnh không liên quan hoặc nghe không rõ</t>
  </si>
  <si>
    <t>Nói câu ngoài menu hoặc nhiễu</t>
  </si>
  <si>
    <t>Con muốn ăn cơm; âm không rõ</t>
  </si>
  <si>
    <t>Không điều hướng sai; nhắc lại lựa chọn.</t>
  </si>
  <si>
    <t>False route ≤1%</t>
  </si>
  <si>
    <t>TC-033</t>
  </si>
  <si>
    <t>Đa giọng</t>
  </si>
  <si>
    <t>Giọng Bắc/Trung/Nam</t>
  </si>
  <si>
    <t>Mỗi trẻ nói bộ lệnh chuẩn</t>
  </si>
  <si>
    <t>3 vùng giọng</t>
  </si>
  <si>
    <t>Không thiên lệch rõ rệt giữa nhóm giọng.</t>
  </si>
  <si>
    <t>Chênh lệch nhóm ≤10 điểm %</t>
  </si>
  <si>
    <t>Field</t>
  </si>
  <si>
    <t>TC-034</t>
  </si>
  <si>
    <t>Một câu</t>
  </si>
  <si>
    <t>Nhận diện–dịch–hiển thị–phát âm</t>
  </si>
  <si>
    <t>Nói câu tiếng Việt; dừng; chờ kết quả</t>
  </si>
  <si>
    <t>10 câu ngắn/dài</t>
  </si>
  <si>
    <t>Hiện câu gốc và tiếng Anh; audio đúng nội dung.</t>
  </si>
  <si>
    <t>≥95% luồng hoàn tất</t>
  </si>
  <si>
    <t>End-to-end</t>
  </si>
  <si>
    <t>TC-035</t>
  </si>
  <si>
    <t>Liên tục</t>
  </si>
  <si>
    <t>Tự mở lượt tiếp theo sau playback</t>
  </si>
  <si>
    <t>Hoàn thành một lượt; không chạm Main; nói câu tiếp</t>
  </si>
  <si>
    <t>5 câu liên tiếp</t>
  </si>
  <si>
    <t>Mỗi lượt độc lập; chỉ một micro; không mất câu.</t>
  </si>
  <si>
    <t>0 chồng/50 lượt</t>
  </si>
  <si>
    <t>TC-036</t>
  </si>
  <si>
    <t>Không nói trong 10 giây</t>
  </si>
  <si>
    <t>Vào liên tục; im lặng ≥10 giây</t>
  </si>
  <si>
    <t>Nói ‘tạm biệt con nhé’; thoát chế độ; Main reset.</t>
  </si>
  <si>
    <t>TC-037</t>
  </si>
  <si>
    <t>Đổi chức năng</t>
  </si>
  <si>
    <t>Nói ‘Còn cái gì khác để học không?’</t>
  </si>
  <si>
    <t>Đang chờ câu dịch</t>
  </si>
  <si>
    <t>Nói lệnh đổi chức năng</t>
  </si>
  <si>
    <t>Command during speaking</t>
  </si>
  <si>
    <t>Không dịch câu lệnh; hỏi chọn nội dung khác.</t>
  </si>
  <si>
    <t>TC-038</t>
  </si>
  <si>
    <t>Nói nhanh</t>
  </si>
  <si>
    <t>Câu tiếng Việt tốc độ 130–160 từ/phút</t>
  </si>
  <si>
    <t>Nói bộ 10 câu nhanh ở 0,5 m</t>
  </si>
  <si>
    <t>Fast speech</t>
  </si>
  <si>
    <t>Không mất âm đầu/cuối; nghĩa dịch đúng.</t>
  </si>
  <si>
    <t>Intent/meaning ≥90%</t>
  </si>
  <si>
    <t>TC-039</t>
  </si>
  <si>
    <t>Nói chậm</t>
  </si>
  <si>
    <t>Câu 60–80 từ/phút, có khoảng dừng</t>
  </si>
  <si>
    <t>Nói bộ 10 câu chậm; dừng 0,5 giây</t>
  </si>
  <si>
    <t>Slow speech</t>
  </si>
  <si>
    <t>VAD không cắt câu quá sớm; kết quả đủ ý.</t>
  </si>
  <si>
    <t>Meaning ≥90%</t>
  </si>
  <si>
    <t>TC-040</t>
  </si>
  <si>
    <t>Giọng nhỏ</t>
  </si>
  <si>
    <t>Giọng nhỏ ở 0,5 m</t>
  </si>
  <si>
    <t>Nói 10 câu với âm lượng nhỏ tự nhiên</t>
  </si>
  <si>
    <t>45–50 dBA</t>
  </si>
  <si>
    <t>Nhận diện được hoặc yêu cầu nói lại, không tạo câu giả.</t>
  </si>
  <si>
    <t>False transcript ≤2%</t>
  </si>
  <si>
    <t>TC-041</t>
  </si>
  <si>
    <t>Mạng chậm</t>
  </si>
  <si>
    <t>Latency 500–1000 ms và packet loss 5%</t>
  </si>
  <si>
    <t>Giả lập mạng; hoàn thành 10 lượt</t>
  </si>
  <si>
    <t>Weak Wi-Fi/4G</t>
  </si>
  <si>
    <t>Không treo; timeout/retry hữu hạn; thông báo thân thiện.</t>
  </si>
  <si>
    <t>0 treo; ≥90% hoàn tất</t>
  </si>
  <si>
    <t>Resilience</t>
  </si>
  <si>
    <t>TC-042</t>
  </si>
  <si>
    <t>Mất mạng</t>
  </si>
  <si>
    <t>Mất mạng sau khi ghi âm</t>
  </si>
  <si>
    <t>Bắt đầu ghi; tắt mạng; hoàn tất lượt</t>
  </si>
  <si>
    <t>Offline mid-turn</t>
  </si>
  <si>
    <t>Không hiện lỗi kỹ thuật thô; cho phép thử lại.</t>
  </si>
  <si>
    <t>0 Format/Socket exception thô</t>
  </si>
  <si>
    <t>TC-043</t>
  </si>
  <si>
    <t>Backend</t>
  </si>
  <si>
    <t>HTTP 404/HTML thay vì JSON</t>
  </si>
  <si>
    <t>Dùng response mock/route thiếu</t>
  </si>
  <si>
    <t>Server action not found</t>
  </si>
  <si>
    <t>Parse an toàn; thông báo thân thiện; không crash.</t>
  </si>
  <si>
    <t>TC-044</t>
  </si>
  <si>
    <t>Nội dung</t>
  </si>
  <si>
    <t>Đủ 5 nhóm tuổi và 50 chủ đề</t>
  </si>
  <si>
    <t>Mở từng tab tuổi; đếm chủ đề</t>
  </si>
  <si>
    <t>3–5;6–7;8–10;11–12;13–15</t>
  </si>
  <si>
    <t>Mỗi nhóm có 10 chủ đề; tổng 50.</t>
  </si>
  <si>
    <t>50/50 đúng</t>
  </si>
  <si>
    <t>Data integrity</t>
  </si>
  <si>
    <t>TC-045</t>
  </si>
  <si>
    <t>Đủ bài học và bài hát</t>
  </si>
  <si>
    <t>Đối chiếu catalog</t>
  </si>
  <si>
    <t>101 bài; 11 bài hát; 744 câu</t>
  </si>
  <si>
    <t>Không thiếu/trùng ID; audio mapping hợp lệ.</t>
  </si>
  <si>
    <t>100% catalog</t>
  </si>
  <si>
    <t>TC-046</t>
  </si>
  <si>
    <t>Intro</t>
  </si>
  <si>
    <t>Mở bài qua trợ lý và phát introAudioUrl</t>
  </si>
  <si>
    <t>Điều hướng bằng Main vào bài; nghe intro</t>
  </si>
  <si>
    <t>Bài My Name và mẫu mỗi nhóm tuổi</t>
  </si>
  <si>
    <t>Phát đúng file introAudioUrl; không dùng TTS thay thế.</t>
  </si>
  <si>
    <t>100% mẫu đạt</t>
  </si>
  <si>
    <t>TC-047</t>
  </si>
  <si>
    <t>introAudioUrl lỗi hoặc null</t>
  </si>
  <si>
    <t>Mở bài có URL lỗi/null</t>
  </si>
  <si>
    <t>404/null</t>
  </si>
  <si>
    <t>Không tự đọc bằng TTS; hiện lỗi/Bỏ qua theo thiết kế; không auto advance sai.</t>
  </si>
  <si>
    <t>TC-048</t>
  </si>
  <si>
    <t>Ghi âm</t>
  </si>
  <si>
    <t>Tự dừng sau tối đa 6 giây</t>
  </si>
  <si>
    <t>Đang ở câu luyện</t>
  </si>
  <si>
    <t>Bắt đầu ghi; nói; chờ</t>
  </si>
  <si>
    <t>Utterance &lt;6 giây</t>
  </si>
  <si>
    <t>Dừng đúng một lần và chuyển đánh giá.</t>
  </si>
  <si>
    <t>Timing</t>
  </si>
  <si>
    <t>TC-049</t>
  </si>
  <si>
    <t>Câu đúng</t>
  </si>
  <si>
    <t>Nói đúng Hello không phân biệt hoa/thường</t>
  </si>
  <si>
    <t>Expected=Hello!</t>
  </si>
  <si>
    <t>Nói hello/HELLO với ngữ điệu khác</t>
  </si>
  <si>
    <t>5 biến thể</t>
  </si>
  <si>
    <t>Chúc mừng ‘Con làm tốt lắm’; không yêu cầu tập trung.</t>
  </si>
  <si>
    <t>ASR accuracy</t>
  </si>
  <si>
    <t>TC-050</t>
  </si>
  <si>
    <t>Nói đúng I’m An với biến thể ASR</t>
  </si>
  <si>
    <t>Expected=I'm An</t>
  </si>
  <si>
    <t>Nói I’m An/I am An/im an</t>
  </si>
  <si>
    <t>Chuẩn hóa dấu câu/case; đánh giá đúng.</t>
  </si>
  <si>
    <t>TC-051</t>
  </si>
  <si>
    <t>Câu sai</t>
  </si>
  <si>
    <t>Nói tiếng Việt thay cho câu tiếng Anh</t>
  </si>
  <si>
    <t>Nói ‘Con muốn ăn cơm’</t>
  </si>
  <si>
    <t>Wrong language</t>
  </si>
  <si>
    <t>Nói ‘Con tập trung học đi’; tự mở ghi âm lại.</t>
  </si>
  <si>
    <t>5/5 retry mở</t>
  </si>
  <si>
    <t>TC-052</t>
  </si>
  <si>
    <t>Retry</t>
  </si>
  <si>
    <t>Sai lần hai</t>
  </si>
  <si>
    <t>Đã sai lần một</t>
  </si>
  <si>
    <t>Nói sai lần hai</t>
  </si>
  <si>
    <t>Wrong x2</t>
  </si>
  <si>
    <t>Nói ‘Mình cùng học câu khác nhé!’ và chuyển câu theo thiết kế.</t>
  </si>
  <si>
    <t>TC-053</t>
  </si>
  <si>
    <t>Không rõ</t>
  </si>
  <si>
    <t>Im lặng hoặc âm quá nhỏ</t>
  </si>
  <si>
    <t>Đang ghi câu</t>
  </si>
  <si>
    <t>Im lặng/âm nhiễu</t>
  </si>
  <si>
    <t>No/unclear speech</t>
  </si>
  <si>
    <t>Không tính là câu sai có nghĩa; nhắc nói lại phù hợp.</t>
  </si>
  <si>
    <t>0 false-wrong</t>
  </si>
  <si>
    <t>TC-054</t>
  </si>
  <si>
    <t>Ngôi sao</t>
  </si>
  <si>
    <t>Câu đúng được lưu một lần</t>
  </si>
  <si>
    <t>Nói đúng câu</t>
  </si>
  <si>
    <t>Hoàn tất; mở Từ vựng &gt; Ngôi sao</t>
  </si>
  <si>
    <t>Same sentence repeated</t>
  </si>
  <si>
    <t>Câu xuất hiện; không trùng bản ghi.</t>
  </si>
  <si>
    <t>1 entry/câu</t>
  </si>
  <si>
    <t>Data persistence</t>
  </si>
  <si>
    <t>TC-055</t>
  </si>
  <si>
    <t>Luyện lại</t>
  </si>
  <si>
    <t>Câu sai được lưu vào Luyện lại</t>
  </si>
  <si>
    <t>Nói sai câu</t>
  </si>
  <si>
    <t>Hoàn tất retry; mở Luyện lại</t>
  </si>
  <si>
    <t>Wrong attempt</t>
  </si>
  <si>
    <t>Đúng câu và metadata bài học được lưu.</t>
  </si>
  <si>
    <t>TC-056</t>
  </si>
  <si>
    <t>Tiến độ</t>
  </si>
  <si>
    <t>Thoát và vào lại giữa bài</t>
  </si>
  <si>
    <t>Đã học một số câu</t>
  </si>
  <si>
    <t>Thoát; đóng app; mở lại bài</t>
  </si>
  <si>
    <t>Resume progress</t>
  </si>
  <si>
    <t>Khôi phục đúng câu/tiến độ, không nhảy lùi.</t>
  </si>
  <si>
    <t>Persistence</t>
  </si>
  <si>
    <t>TC-057</t>
  </si>
  <si>
    <t>Cuối bài</t>
  </si>
  <si>
    <t>Nói bài tiếp theo khi còn bài</t>
  </si>
  <si>
    <t>Hoàn thành bài không phải cuối</t>
  </si>
  <si>
    <t>Chọn ‘bài tiếp theo’</t>
  </si>
  <si>
    <t>Next lesson</t>
  </si>
  <si>
    <t>Mở đúng bài kế tiếp và phát đúng intro.</t>
  </si>
  <si>
    <t>TC-058</t>
  </si>
  <si>
    <t>Nói bài tiếp theo tại bài cuối</t>
  </si>
  <si>
    <t>Hoàn thành bài cuối</t>
  </si>
  <si>
    <t>Chọn bài tiếp theo</t>
  </si>
  <si>
    <t>End of topic</t>
  </si>
  <si>
    <t>Thông báo hoàn thành; về danh sách chủ đề; hỏi chọn trong N chủ đề.</t>
  </si>
  <si>
    <t>TC-059</t>
  </si>
  <si>
    <t>Lựa chọn cuối bài nghe không rõ</t>
  </si>
  <si>
    <t>Đang ở lựa chọn cuối bài</t>
  </si>
  <si>
    <t>Nói âm không rõ</t>
  </si>
  <si>
    <t>Unclear choice</t>
  </si>
  <si>
    <t>Nói ‘Nói lại lựa chọn của con nhé’ và nghe lại.</t>
  </si>
  <si>
    <t>TC-060</t>
  </si>
  <si>
    <t>Bài hát</t>
  </si>
  <si>
    <t>Phát bài hát/chant và điều khiển playback</t>
  </si>
  <si>
    <t>Mở một bài hát; play/pause/replay/thoát</t>
  </si>
  <si>
    <t>11 songs sampling</t>
  </si>
  <si>
    <t>Audio đúng; không phát chồng; thoát giải phóng playback.</t>
  </si>
  <si>
    <t>0 audio overlap</t>
  </si>
  <si>
    <t>Media</t>
  </si>
  <si>
    <t>TC-061</t>
  </si>
  <si>
    <t>Từ vựng</t>
  </si>
  <si>
    <t>Mở Gia đình/Ngôi sao/Luyện lại</t>
  </si>
  <si>
    <t>Mở lần lượt ba hành trình</t>
  </si>
  <si>
    <t>3 journeys</t>
  </si>
  <si>
    <t>Đúng danh sách và số lượng; không trộn trạng thái.</t>
  </si>
  <si>
    <t>3/3 đúng</t>
  </si>
  <si>
    <t>TC-062</t>
  </si>
  <si>
    <t>Thêm, tìm kiếm, phát âm và xóa từ</t>
  </si>
  <si>
    <t>Thêm từ; tìm; play; bật xóa; xóa</t>
  </si>
  <si>
    <t>Family/School/Happy</t>
  </si>
  <si>
    <t>CRUD đúng; audio chỉ phát một lần.</t>
  </si>
  <si>
    <t>TC-063</t>
  </si>
  <si>
    <t>Dữ liệu tồn tại sau restart</t>
  </si>
  <si>
    <t>Có từ đã lưu</t>
  </si>
  <si>
    <t>Force stop; mở lại</t>
  </si>
  <si>
    <t>Danh sách không mất hoặc trùng.</t>
  </si>
  <si>
    <t>TC-064</t>
  </si>
  <si>
    <t>Lịch sử</t>
  </si>
  <si>
    <t>Xem, lọc, xóa một mục</t>
  </si>
  <si>
    <t>Có lịch sử</t>
  </si>
  <si>
    <t>Mở Lịch sử; lọc; xóa một mục</t>
  </si>
  <si>
    <t>Approved/rejected</t>
  </si>
  <si>
    <t>Hiển thị và cập nhật đúng.</t>
  </si>
  <si>
    <t>TC-065</t>
  </si>
  <si>
    <t>Cài đặt</t>
  </si>
  <si>
    <t>Đổi sáng/tối/system</t>
  </si>
  <si>
    <t>Đổi theme; chuyển màn; restart</t>
  </si>
  <si>
    <t>3 themes</t>
  </si>
  <si>
    <t>Áp dụng ngay và lưu lựa chọn.</t>
  </si>
  <si>
    <t>P2</t>
  </si>
  <si>
    <t>TC-066</t>
  </si>
  <si>
    <t>Ngôn ngữ</t>
  </si>
  <si>
    <t>Đổi tiếng Việt/Trung</t>
  </si>
  <si>
    <t>Đổi ngôn ngữ; kiểm tra màn chính và cài đặt</t>
  </si>
  <si>
    <t>vi/zh</t>
  </si>
  <si>
    <t>Chuỗi chính đổi đúng; không vỡ layout.</t>
  </si>
  <si>
    <t>0 text clipped nghiêm trọng</t>
  </si>
  <si>
    <t>Localization</t>
  </si>
  <si>
    <t>TC-067</t>
  </si>
  <si>
    <t>Onboarding</t>
  </si>
  <si>
    <t>Lần đầu và không hiển thị lại sau hoàn thành</t>
  </si>
  <si>
    <t>Đi hết tour; đóng/mở app</t>
  </si>
  <si>
    <t>First run</t>
  </si>
  <si>
    <t>Tour đúng thứ tự; không lặp ngoài ý muốn.</t>
  </si>
  <si>
    <t>TC-068</t>
  </si>
  <si>
    <t>BLE scan</t>
  </si>
  <si>
    <t>Quét thấy đúng H20</t>
  </si>
  <si>
    <t>Điện thoại Android thật đã ghép đôi H20; ghi rõ H20 ID, firmware, pin; ENABLE_HFP_AUDIO=true.</t>
  </si>
  <si>
    <t>Mở chẩn đoán; quét 8 giây; chọn H20</t>
  </si>
  <si>
    <t>1 m, line-of-sight</t>
  </si>
  <si>
    <t>Tìm và hiển thị đúng tên/ID; không chọn nhầm.</t>
  </si>
  <si>
    <t>≥29/30</t>
  </si>
  <si>
    <t>Hardware</t>
  </si>
  <si>
    <t>TC-069</t>
  </si>
  <si>
    <t>BLE connect</t>
  </si>
  <si>
    <t>Kết nối và discover GATT 9E3B0001/2/3</t>
  </si>
  <si>
    <t>Kết nối; đọc service/characteristic</t>
  </si>
  <si>
    <t>Control GATT</t>
  </si>
  <si>
    <t>Có service; Button Indicate+CCCD; APP State write-with-response.</t>
  </si>
  <si>
    <t>30/30 cấu trúc đúng</t>
  </si>
  <si>
    <t>TC-070</t>
  </si>
  <si>
    <t>Battery</t>
  </si>
  <si>
    <t>Đọc Battery 180F/2A19</t>
  </si>
  <si>
    <t>Kết nối; đọc pin; đối chiếu nhiều lần</t>
  </si>
  <si>
    <t>Pin 100/50/20/10%</t>
  </si>
  <si>
    <t>Hiển thị % hợp lệ; không suy diễn đang sạc.</t>
  </si>
  <si>
    <t>Sai số theo firmware ≤5%</t>
  </si>
  <si>
    <t>TC-071</t>
  </si>
  <si>
    <t>Firmware</t>
  </si>
  <si>
    <t>Đọc Firmware Revision 180A/2A26</t>
  </si>
  <si>
    <t>Kết nối 5 H20; ghi firmware</t>
  </si>
  <si>
    <t>5 units</t>
  </si>
  <si>
    <t>Chuỗi firmware đúng và truy vết được.</t>
  </si>
  <si>
    <t>100% đọc được</t>
  </si>
  <si>
    <t>TC-072</t>
  </si>
  <si>
    <t>HFP</t>
  </si>
  <si>
    <t>Hiển thị đúng HFP, micro và loa</t>
  </si>
  <si>
    <t>Kết nối; mở audio route; xem chẩn đoán</t>
  </si>
  <si>
    <t>HFP/SCO</t>
  </si>
  <si>
    <t>Chỉ báo H20 khi Android xác nhận input/output route.</t>
  </si>
  <si>
    <t>0 khai báo sai</t>
  </si>
  <si>
    <t>TC-073</t>
  </si>
  <si>
    <t>Mic route</t>
  </si>
  <si>
    <t>Chứng minh dùng micro H20</t>
  </si>
  <si>
    <t>Đặt điện thoại xa/che mic; nói gần H20; loopback</t>
  </si>
  <si>
    <t>Phone 3 m; H20 0,3 m</t>
  </si>
  <si>
    <t>Thu rõ từ H20; tên input là H20 Microphone.</t>
  </si>
  <si>
    <t>10/10</t>
  </si>
  <si>
    <t>TC-074</t>
  </si>
  <si>
    <t>Chứng minh không vô tình dùng mic điện thoại</t>
  </si>
  <si>
    <t>Nói gần điện thoại, giữ im lặng gần H20</t>
  </si>
  <si>
    <t>A/B route test</t>
  </si>
  <si>
    <t>Kết quả phù hợp route H20, không nhận sai nguồn.</t>
  </si>
  <si>
    <t>0 fallback ẩn</t>
  </si>
  <si>
    <t>TC-075</t>
  </si>
  <si>
    <t>Speaker route</t>
  </si>
  <si>
    <t>Phát file asset offline qua loa H20</t>
  </si>
  <si>
    <t>Tắt Internet; phát Test loa offline</t>
  </si>
  <si>
    <t>Bundled MP3</t>
  </si>
  <si>
    <t>Âm ra H20; người test xác nhận nghe được.</t>
  </si>
  <si>
    <t>TC-076</t>
  </si>
  <si>
    <t>Loopback</t>
  </si>
  <si>
    <t>Thu tối đa 5 giây và phát lại offline</t>
  </si>
  <si>
    <t>Tắt mạng; ghi câu; tự phát lại</t>
  </si>
  <si>
    <t>5-second loopback</t>
  </si>
  <si>
    <t>Không gọi cloud; tốc độ/cao độ tự nhiên.</t>
  </si>
  <si>
    <t>10/10; 0 network call</t>
  </si>
  <si>
    <t>TC-077</t>
  </si>
  <si>
    <t>MAIN</t>
  </si>
  <si>
    <t>Một short press tạo một sự kiện</t>
  </si>
  <si>
    <t>Protocol đã được ODM xác nhận và build bật flag</t>
  </si>
  <si>
    <t>Nhấn MAIN 100 lần, cách nhau 1 giây</t>
  </si>
  <si>
    <t>100 presses</t>
  </si>
  <si>
    <t>Mỗi lần đúng một event/sequence; không duplicate action.</t>
  </si>
  <si>
    <t>≥99%; 0 double action</t>
  </si>
  <si>
    <t>Hardware reliability</t>
  </si>
  <si>
    <t>TC-078</t>
  </si>
  <si>
    <t>Double press nhanh</t>
  </si>
  <si>
    <t>Protocol confirmed</t>
  </si>
  <si>
    <t>Double press trong 300 ms, 30 vòng</t>
  </si>
  <si>
    <t>30 double presses</t>
  </si>
  <si>
    <t>Coordinator không tạo hai phiên micro/TTS.</t>
  </si>
  <si>
    <t>0 overlap</t>
  </si>
  <si>
    <t>TC-079</t>
  </si>
  <si>
    <t>Long press rồi release</t>
  </si>
  <si>
    <t>Long press 2 giây; thả; lặp 30</t>
  </si>
  <si>
    <t>Long/release</t>
  </si>
  <si>
    <t>Dừng một lần; release không restart.</t>
  </si>
  <si>
    <t>30/30</t>
  </si>
  <si>
    <t>TC-080</t>
  </si>
  <si>
    <t>Packet</t>
  </si>
  <si>
    <t>Packet trùng sequence</t>
  </si>
  <si>
    <t>Có công cụ/firmware tạo duplicate</t>
  </si>
  <si>
    <t>Gửi hai packet cùng sequence</t>
  </si>
  <si>
    <t>Duplicate packet</t>
  </si>
  <si>
    <t>Packet sau bị bỏ qua; APP trả trạng thái duplicate nếu có.</t>
  </si>
  <si>
    <t>20/20 ignored</t>
  </si>
  <si>
    <t>Protocol</t>
  </si>
  <si>
    <t>TC-081</t>
  </si>
  <si>
    <t>Packet version/length sai</t>
  </si>
  <si>
    <t>Có công cụ phát packet</t>
  </si>
  <si>
    <t>Gửi version khác 1 hoặc không đủ 12 byte</t>
  </si>
  <si>
    <t>Malformed packet</t>
  </si>
  <si>
    <t>Chỉ log raw; không điều khiển app; không crash.</t>
  </si>
  <si>
    <t>20/20 safe</t>
  </si>
  <si>
    <t>TC-082</t>
  </si>
  <si>
    <t>APP State</t>
  </si>
  <si>
    <t>Ghi trạng thái 8 byte có response</t>
  </si>
  <si>
    <t>Chuyển idle/listening/processing/playing/error</t>
  </si>
  <si>
    <t>9E3B0003</t>
  </si>
  <si>
    <t>H20 ACK đúng sequence; trạng thái không bị đảo.</t>
  </si>
  <si>
    <t>100% state ACK</t>
  </si>
  <si>
    <t>TC-083</t>
  </si>
  <si>
    <t>Reconnect</t>
  </si>
  <si>
    <t>Tắt/bật H20 khi app foreground</t>
  </si>
  <si>
    <t>Kết nối; tắt H20 10 giây; bật lại</t>
  </si>
  <si>
    <t>30 cycles</t>
  </si>
  <si>
    <t>Tự reconnect hoặc cho kết nối lại; discover và subscribe Indicate lại.</t>
  </si>
  <si>
    <t>≥95% trong 10 giây</t>
  </si>
  <si>
    <t>TC-084</t>
  </si>
  <si>
    <t>Ra ngoài phạm vi rồi quay lại</t>
  </si>
  <si>
    <t>Đi xa &gt;10 m; chờ disconnect; quay về 1 m</t>
  </si>
  <si>
    <t>Không treo; route và MAIN hoạt động lại.</t>
  </si>
  <si>
    <t>TC-085</t>
  </si>
  <si>
    <t>Mất HFP</t>
  </si>
  <si>
    <t>BLE còn nhưng SCO mất</t>
  </si>
  <si>
    <t>Ngắt profile audio; giữ BLE</t>
  </si>
  <si>
    <t>Partial disconnect</t>
  </si>
  <si>
    <t>Không khẳng định mic/loa H20; không ghi bằng route sai âm thầm.</t>
  </si>
  <si>
    <t>0 false route</t>
  </si>
  <si>
    <t>TC-086</t>
  </si>
  <si>
    <t>Mất BLE</t>
  </si>
  <si>
    <t>HFP còn nhưng BLE mất</t>
  </si>
  <si>
    <t>Ngắt BLE; thử audio và MAIN</t>
  </si>
  <si>
    <t>Audio được báo riêng; MAIN unavailable rõ ràng; không crash.</t>
  </si>
  <si>
    <t>10/10 safe</t>
  </si>
  <si>
    <t>TC-087</t>
  </si>
  <si>
    <t>Khoảng cách</t>
  </si>
  <si>
    <t>Nhận câu ở 0,3/0,5/1/2/3 m</t>
  </si>
  <si>
    <t>Mỗi trẻ nói bộ câu tại từng khoảng cách</t>
  </si>
  <si>
    <t>5 distances</t>
  </si>
  <si>
    <t>Ghi tỷ lệ nhận đúng theo từng mức; không thay nguồn mic.</t>
  </si>
  <si>
    <t>Theo Acceptance</t>
  </si>
  <si>
    <t>TC-088</t>
  </si>
  <si>
    <t>Góc nói</t>
  </si>
  <si>
    <t>Nói ở 0/45/90/180 độ</t>
  </si>
  <si>
    <t>Giữ 1 m; thay góc nói</t>
  </si>
  <si>
    <t>4 angles</t>
  </si>
  <si>
    <t>Đo suy giảm; không false accept do tiếng vọng.</t>
  </si>
  <si>
    <t>0°/45° đạt ≥90%</t>
  </si>
  <si>
    <t>TC-089</t>
  </si>
  <si>
    <t>Tiếng ồn</t>
  </si>
  <si>
    <t>Phòng 35–40/50–55/65–70 dBA</t>
  </si>
  <si>
    <t>Mỗi trẻ nói bộ câu ở ba mức ồn</t>
  </si>
  <si>
    <t>3 noise levels</t>
  </si>
  <si>
    <t>Tỷ lệ theo ngưỡng; không tự kích hoạt bởi trẻ khác.</t>
  </si>
  <si>
    <t>Baseline ≥95%; lớp học ≥90%</t>
  </si>
  <si>
    <t>TC-090</t>
  </si>
  <si>
    <t>Echo</t>
  </si>
  <si>
    <t>Loa H20 phát xong rồi micro mở</t>
  </si>
  <si>
    <t>Chạy 100 prompt→beep→listen</t>
  </si>
  <si>
    <t>100 cycles</t>
  </si>
  <si>
    <t>Không nhận lại câu Bi cô hoặc tiếng tít.</t>
  </si>
  <si>
    <t>0 self-recognition</t>
  </si>
  <si>
    <t>Acoustic echo</t>
  </si>
  <si>
    <t>TC-091</t>
  </si>
  <si>
    <t>Khoảng cách BT</t>
  </si>
  <si>
    <t>1/5/10 m và qua một tường</t>
  </si>
  <si>
    <t>Điều khiển MAIN và audio ở từng mức</t>
  </si>
  <si>
    <t>RF distance</t>
  </si>
  <si>
    <t>Ghi packet loss/dropout; không treo khi yếu sóng.</t>
  </si>
  <si>
    <t>1–5 m ≥99%; 10 m quan sát</t>
  </si>
  <si>
    <t>RF field</t>
  </si>
  <si>
    <t>TC-092</t>
  </si>
  <si>
    <t>Pin yếu</t>
  </si>
  <si>
    <t>H20 ở 20%, 10% và gần cạn</t>
  </si>
  <si>
    <t>Chạy MAIN, ghi và phát audio</t>
  </si>
  <si>
    <t>Low battery</t>
  </si>
  <si>
    <t>Trạng thái rõ; không packet loạn; mất nguồn được xử lý an toàn.</t>
  </si>
  <si>
    <t>0 crash/data corruption</t>
  </si>
  <si>
    <t>Endurance</t>
  </si>
  <si>
    <t>TC-093</t>
  </si>
  <si>
    <t>Nhiều H20</t>
  </si>
  <si>
    <t>Hai H20 cùng quảng bá gần điện thoại</t>
  </si>
  <si>
    <t>2 H20 bật</t>
  </si>
  <si>
    <t>Quét; chọn đúng ID; kết nối; chạy loopback</t>
  </si>
  <si>
    <t>2 devices at 1 m</t>
  </si>
  <si>
    <t>Không tự nối nhầm; UI phân biệt thiết bị.</t>
  </si>
  <si>
    <t>10/10 đúng unit</t>
  </si>
  <si>
    <t>Multi-device</t>
  </si>
  <si>
    <t>TC-094</t>
  </si>
  <si>
    <t>Legacy</t>
  </si>
  <si>
    <t>Không dùng FF12/FF13/FF14 trên V1</t>
  </si>
  <si>
    <t>Thu log GATT khi chạy toàn bộ luồng</t>
  </si>
  <si>
    <t>V1 firmware</t>
  </si>
  <si>
    <t>Không có request truyền audio BLE legacy.</t>
  </si>
  <si>
    <t>0 legacy audio packet</t>
  </si>
  <si>
    <t>Architecture</t>
  </si>
  <si>
    <t>TC-095</t>
  </si>
  <si>
    <t>Hiệu năng</t>
  </si>
  <si>
    <t>Cold start và warm start</t>
  </si>
  <si>
    <t>5 điện thoại thật</t>
  </si>
  <si>
    <t>Đo 30 lần cold/warm</t>
  </si>
  <si>
    <t>API 24–36</t>
  </si>
  <si>
    <t>Màn hình chính phản hồi; không block do preload.</t>
  </si>
  <si>
    <t>Cold P95 ≤3s; warm ≤1.5s</t>
  </si>
  <si>
    <t>Performance</t>
  </si>
  <si>
    <t>TC-096</t>
  </si>
  <si>
    <t>Độ trễ</t>
  </si>
  <si>
    <t>Main→prompt→beep→mic ready</t>
  </si>
  <si>
    <t>Thiết bị thật + H20</t>
  </si>
  <si>
    <t>Quay video 60fps/ghi timestamp 30 vòng</t>
  </si>
  <si>
    <t>30 cycles/device</t>
  </si>
  <si>
    <t>Các mốc đáp ứng ngưỡng Acceptance.</t>
  </si>
  <si>
    <t>Prompt≤1s; beep/mic≤300ms</t>
  </si>
  <si>
    <t>TC-097</t>
  </si>
  <si>
    <t>Speech end→text→audio result</t>
  </si>
  <si>
    <t>Mạng tốt và mạng yếu</t>
  </si>
  <si>
    <t>Đo 30 lượt mỗi mạng</t>
  </si>
  <si>
    <t>Wi-Fi/4G/weak</t>
  </si>
  <si>
    <t>P95 không vượt ngưỡng; không treo.</t>
  </si>
  <si>
    <t>Text≤2.5s; audio≤5s</t>
  </si>
  <si>
    <t>TC-098</t>
  </si>
  <si>
    <t>Soak</t>
  </si>
  <si>
    <t>100 lượt nói liên tục</t>
  </si>
  <si>
    <t>Điện thoại + H20 đầy pin</t>
  </si>
  <si>
    <t>Chạy 100 lượt hỗn hợp Main/dịch/bài học</t>
  </si>
  <si>
    <t>2 giờ</t>
  </si>
  <si>
    <t>Không crash, leak, nóng bất thường hoặc chồng phiên.</t>
  </si>
  <si>
    <t>0 crash; 0 overlap</t>
  </si>
  <si>
    <t>Stability</t>
  </si>
  <si>
    <t>TC-099</t>
  </si>
  <si>
    <t>Accessibility</t>
  </si>
  <si>
    <t>Text scale 200% và màn 320×568</t>
  </si>
  <si>
    <t>Tăng font; đi qua luồng chính</t>
  </si>
  <si>
    <t>Large text/compact</t>
  </si>
  <si>
    <t>Không mất nút chính; nội dung quan trọng đọc được.</t>
  </si>
  <si>
    <t>0 blocker</t>
  </si>
  <si>
    <t>TC-100</t>
  </si>
  <si>
    <t>Bảo mật</t>
  </si>
  <si>
    <t>APK không chứa secret backend</t>
  </si>
  <si>
    <t>APK release</t>
  </si>
  <si>
    <t>Scan strings/config; kiểm tra traffic HTTPS</t>
  </si>
  <si>
    <t>Static/dynamic</t>
  </si>
  <si>
    <t>Không có API key; usesCleartextTraffic=false.</t>
  </si>
  <si>
    <t>0 secret; 100% HTTPS</t>
  </si>
  <si>
    <t>Security</t>
  </si>
  <si>
    <t>TC-101</t>
  </si>
  <si>
    <t>Quyền riêng tư</t>
  </si>
  <si>
    <t>Giọng trẻ không lưu/đẩy ngoài mục đích</t>
  </si>
  <si>
    <t>Có consent test</t>
  </si>
  <si>
    <t>Đối chiếu luồng upload, history, delete</t>
  </si>
  <si>
    <t>Child voice data</t>
  </si>
  <si>
    <t>Dữ liệu theo chính sách; xóa được; không ghi PII ngoài cần thiết.</t>
  </si>
  <si>
    <t>100% theo consent/retention</t>
  </si>
  <si>
    <t>Privacy</t>
  </si>
  <si>
    <t>TC-102</t>
  </si>
  <si>
    <t>Ký ứng dụng</t>
  </si>
  <si>
    <t>Xác nhận release signing</t>
  </si>
  <si>
    <t>Có APK candidate</t>
  </si>
  <si>
    <t>Kiểm tra certificate và khả năng upgrade</t>
  </si>
  <si>
    <t>Release cert</t>
  </si>
  <si>
    <t>Dùng production keystore trước phát hành; không ký debug.</t>
  </si>
  <si>
    <t>Production cert</t>
  </si>
  <si>
    <t>Release readiness</t>
  </si>
  <si>
    <t>VOICE FIELD MATRIX</t>
  </si>
  <si>
    <t>Ma trận cân bằng điều kiện; không chạy full-factorial để tránh gây mệt cho trẻ.</t>
  </si>
  <si>
    <t>Matrix ID</t>
  </si>
  <si>
    <t>Nhóm tuổi</t>
  </si>
  <si>
    <t>Điều kiện</t>
  </si>
  <si>
    <t>Khoảng cách (m)</t>
  </si>
  <si>
    <t>Góc</t>
  </si>
  <si>
    <t>Noise dBA</t>
  </si>
  <si>
    <t>Tốc độ</t>
  </si>
  <si>
    <t>Âm lượng</t>
  </si>
  <si>
    <t>Mạng</t>
  </si>
  <si>
    <t>Số trẻ</t>
  </si>
  <si>
    <t>Câu/trẻ</t>
  </si>
  <si>
    <t>Lặp/câu</t>
  </si>
  <si>
    <t>Số buổi</t>
  </si>
  <si>
    <t>Tổng lượt nói</t>
  </si>
  <si>
    <t>VM-01</t>
  </si>
  <si>
    <t>3–5</t>
  </si>
  <si>
    <t>Baseline</t>
  </si>
  <si>
    <t>0°</t>
  </si>
  <si>
    <t>35–40</t>
  </si>
  <si>
    <t>Tự nhiên</t>
  </si>
  <si>
    <t>Bình thường</t>
  </si>
  <si>
    <t>Wi-Fi tốt</t>
  </si>
  <si>
    <t>VM-02</t>
  </si>
  <si>
    <t>6–7</t>
  </si>
  <si>
    <t>VM-03</t>
  </si>
  <si>
    <t>8–10</t>
  </si>
  <si>
    <t>VM-04</t>
  </si>
  <si>
    <t>11–12</t>
  </si>
  <si>
    <t>VM-05</t>
  </si>
  <si>
    <t>13–15</t>
  </si>
  <si>
    <t>VM-06</t>
  </si>
  <si>
    <t>Tất cả</t>
  </si>
  <si>
    <t>Gần</t>
  </si>
  <si>
    <t>Nhỏ</t>
  </si>
  <si>
    <t>VM-07</t>
  </si>
  <si>
    <t>Khoảng cách chuẩn</t>
  </si>
  <si>
    <t>50–55</t>
  </si>
  <si>
    <t>VM-08</t>
  </si>
  <si>
    <t>Xa</t>
  </si>
  <si>
    <t>VM-09</t>
  </si>
  <si>
    <t>Stress khoảng cách</t>
  </si>
  <si>
    <t>VM-10</t>
  </si>
  <si>
    <t>60–80 wpm</t>
  </si>
  <si>
    <t>VM-11</t>
  </si>
  <si>
    <t>130–160 wpm</t>
  </si>
  <si>
    <t>VM-12</t>
  </si>
  <si>
    <t>Nói ngắt quãng</t>
  </si>
  <si>
    <t>Dừng 0,5–1s</t>
  </si>
  <si>
    <t>VM-13</t>
  </si>
  <si>
    <t>Lớp học ồn</t>
  </si>
  <si>
    <t>65–70</t>
  </si>
  <si>
    <t>VM-14</t>
  </si>
  <si>
    <t>Góc 45°</t>
  </si>
  <si>
    <t>45°</t>
  </si>
  <si>
    <t>VM-15</t>
  </si>
  <si>
    <t>Góc 90°</t>
  </si>
  <si>
    <t>90°</t>
  </si>
  <si>
    <t>VM-16</t>
  </si>
  <si>
    <t>Góc 180°</t>
  </si>
  <si>
    <t>180°</t>
  </si>
  <si>
    <t>VM-17</t>
  </si>
  <si>
    <t>Mạng 4G</t>
  </si>
  <si>
    <t>4G</t>
  </si>
  <si>
    <t>VM-18</t>
  </si>
  <si>
    <t>Mạng yếu</t>
  </si>
  <si>
    <t>500–1000ms/5% loss</t>
  </si>
  <si>
    <t>VM-19</t>
  </si>
  <si>
    <t>Echo H20</t>
  </si>
  <si>
    <t>VM-20</t>
  </si>
  <si>
    <t>Bluetooth qua tường</t>
  </si>
  <si>
    <t>CHILD PARTICIPANT PLAN</t>
  </si>
  <si>
    <t>Khuyến nghị 50 trẻ; pilot tối thiểu 30 trẻ. Mỗi trẻ tham gia 2 buổi để kiểm tra khả năng lặp lại.</t>
  </si>
  <si>
    <t>Pilot tối thiểu</t>
  </si>
  <si>
    <t>Khuyến nghị</t>
  </si>
  <si>
    <t>Số buổi/trẻ</t>
  </si>
  <si>
    <t>Câu/buổi</t>
  </si>
  <si>
    <t>Tổng pilot</t>
  </si>
  <si>
    <t>Tổng khuyến nghị</t>
  </si>
  <si>
    <t>Yêu cầu mẫu</t>
  </si>
  <si>
    <t>Giọng Bắc/Trung/Nam; cân bằng nam/nữ; có đồng ý phụ huynh; không ghi tên thật cùng audio.</t>
  </si>
  <si>
    <t>TỔNG</t>
  </si>
  <si>
    <t>DEVICE &amp; H20 MATRIX</t>
  </si>
  <si>
    <t>Điện thoại thật là bắt buộc cho BLE/HFP. Emulator chỉ dùng cho UI và logic, không dùng nghiệm thu H20.</t>
  </si>
  <si>
    <t>ID</t>
  </si>
  <si>
    <t>Loại</t>
  </si>
  <si>
    <t>Hệ điều hành/Firmware</t>
  </si>
  <si>
    <t>Mẫu đề xuất</t>
  </si>
  <si>
    <t>Mục tiêu</t>
  </si>
  <si>
    <t>Trạng thái</t>
  </si>
  <si>
    <t>DEV-01</t>
  </si>
  <si>
    <t>Android phone</t>
  </si>
  <si>
    <t>Android 7 / API 24</t>
  </si>
  <si>
    <t>Máy cấu hình thấp</t>
  </si>
  <si>
    <t>minSdk, permission cũ</t>
  </si>
  <si>
    <t>Planned</t>
  </si>
  <si>
    <t>Thiết bị thật</t>
  </si>
  <si>
    <t>DEV-02</t>
  </si>
  <si>
    <t>Android 10/11</t>
  </si>
  <si>
    <t>Samsung</t>
  </si>
  <si>
    <t>HFP/BLE trước Android 12</t>
  </si>
  <si>
    <t>DEV-03</t>
  </si>
  <si>
    <t>Android 12/13</t>
  </si>
  <si>
    <t>Xiaomi/Oppo</t>
  </si>
  <si>
    <t>Nearby devices permission</t>
  </si>
  <si>
    <t>DEV-04</t>
  </si>
  <si>
    <t>Android 14</t>
  </si>
  <si>
    <t>Pixel/Samsung</t>
  </si>
  <si>
    <t>Audio route và quyền mới</t>
  </si>
  <si>
    <t>DEV-05</t>
  </si>
  <si>
    <t>Android 16 / API 36</t>
  </si>
  <si>
    <t>Pixel/Emulator</t>
  </si>
  <si>
    <t>Latest OS; emulator không nghiệm thu H20</t>
  </si>
  <si>
    <t>Available: emulator</t>
  </si>
  <si>
    <t>Hiện chỉ có emulator-5554</t>
  </si>
  <si>
    <t>H20-01</t>
  </si>
  <si>
    <t>H20 V1</t>
  </si>
  <si>
    <t>Ghi khi nhận mẫu</t>
  </si>
  <si>
    <t>Unit 1</t>
  </si>
  <si>
    <t>Required</t>
  </si>
  <si>
    <t>Khác ID</t>
  </si>
  <si>
    <t>H20-02</t>
  </si>
  <si>
    <t>Unit 2</t>
  </si>
  <si>
    <t>Reconnect/so sánh</t>
  </si>
  <si>
    <t>H20-03</t>
  </si>
  <si>
    <t>Unit 3</t>
  </si>
  <si>
    <t>Độ ổn định lô</t>
  </si>
  <si>
    <t>Recommended</t>
  </si>
  <si>
    <t>H20-04</t>
  </si>
  <si>
    <t>Unit 4</t>
  </si>
  <si>
    <t>H20-05</t>
  </si>
  <si>
    <t>Unit 5</t>
  </si>
  <si>
    <t>FIELD EXECUTION LOG</t>
  </si>
  <si>
    <t>Mỗi dòng là một lần chạy. Không ghi tên thật của trẻ; chỉ dùng Participant ID đã được đồng ý.</t>
  </si>
  <si>
    <t>Run ID</t>
  </si>
  <si>
    <t>Ngày</t>
  </si>
  <si>
    <t>Device ID</t>
  </si>
  <si>
    <t>H20 ID</t>
  </si>
  <si>
    <t>Participant ID</t>
  </si>
  <si>
    <t>Câu đã nói</t>
  </si>
  <si>
    <t>Transcript</t>
  </si>
  <si>
    <t>Kết quả</t>
  </si>
  <si>
    <t>Latency ms</t>
  </si>
  <si>
    <t>Tester</t>
  </si>
  <si>
    <t>RUN-0001</t>
  </si>
  <si>
    <t>RUN-0002</t>
  </si>
  <si>
    <t>RUN-0003</t>
  </si>
  <si>
    <t>RUN-0004</t>
  </si>
  <si>
    <t>RUN-0005</t>
  </si>
  <si>
    <t>RUN-0006</t>
  </si>
  <si>
    <t>RUN-0007</t>
  </si>
  <si>
    <t>RUN-0008</t>
  </si>
  <si>
    <t>RUN-0009</t>
  </si>
  <si>
    <t>RUN-0010</t>
  </si>
  <si>
    <t>RUN-0011</t>
  </si>
  <si>
    <t>RUN-0012</t>
  </si>
  <si>
    <t>RUN-0013</t>
  </si>
  <si>
    <t>RUN-0014</t>
  </si>
  <si>
    <t>RUN-0015</t>
  </si>
  <si>
    <t>RUN-0016</t>
  </si>
  <si>
    <t>RUN-0017</t>
  </si>
  <si>
    <t>RUN-0018</t>
  </si>
  <si>
    <t>RUN-0019</t>
  </si>
  <si>
    <t>RUN-0020</t>
  </si>
  <si>
    <t>RUN-0021</t>
  </si>
  <si>
    <t>RUN-0022</t>
  </si>
  <si>
    <t>RUN-0023</t>
  </si>
  <si>
    <t>RUN-0024</t>
  </si>
  <si>
    <t>RUN-0025</t>
  </si>
  <si>
    <t>RUN-0026</t>
  </si>
  <si>
    <t>RUN-0027</t>
  </si>
  <si>
    <t>RUN-0028</t>
  </si>
  <si>
    <t>RUN-0029</t>
  </si>
  <si>
    <t>RUN-0030</t>
  </si>
  <si>
    <t>RUN-0031</t>
  </si>
  <si>
    <t>RUN-0032</t>
  </si>
  <si>
    <t>RUN-0033</t>
  </si>
  <si>
    <t>RUN-0034</t>
  </si>
  <si>
    <t>RUN-0035</t>
  </si>
  <si>
    <t>RUN-0036</t>
  </si>
  <si>
    <t>RUN-0037</t>
  </si>
  <si>
    <t>RUN-0038</t>
  </si>
  <si>
    <t>RUN-0039</t>
  </si>
  <si>
    <t>RUN-0040</t>
  </si>
  <si>
    <t>RUN-0041</t>
  </si>
  <si>
    <t>RUN-0042</t>
  </si>
  <si>
    <t>RUN-0043</t>
  </si>
  <si>
    <t>RUN-0044</t>
  </si>
  <si>
    <t>RUN-0045</t>
  </si>
  <si>
    <t>RUN-0046</t>
  </si>
  <si>
    <t>RUN-0047</t>
  </si>
  <si>
    <t>RUN-0048</t>
  </si>
  <si>
    <t>RUN-0049</t>
  </si>
  <si>
    <t>RUN-0050</t>
  </si>
  <si>
    <t>RUN-0051</t>
  </si>
  <si>
    <t>RUN-0052</t>
  </si>
  <si>
    <t>RUN-0053</t>
  </si>
  <si>
    <t>RUN-0054</t>
  </si>
  <si>
    <t>RUN-0055</t>
  </si>
  <si>
    <t>RUN-0056</t>
  </si>
  <si>
    <t>RUN-0057</t>
  </si>
  <si>
    <t>RUN-0058</t>
  </si>
  <si>
    <t>RUN-0059</t>
  </si>
  <si>
    <t>RUN-0060</t>
  </si>
  <si>
    <t>RUN-0061</t>
  </si>
  <si>
    <t>RUN-0062</t>
  </si>
  <si>
    <t>RUN-0063</t>
  </si>
  <si>
    <t>RUN-0064</t>
  </si>
  <si>
    <t>RUN-0065</t>
  </si>
  <si>
    <t>RUN-0066</t>
  </si>
  <si>
    <t>RUN-0067</t>
  </si>
  <si>
    <t>RUN-0068</t>
  </si>
  <si>
    <t>RUN-0069</t>
  </si>
  <si>
    <t>RUN-0070</t>
  </si>
  <si>
    <t>RUN-0071</t>
  </si>
  <si>
    <t>RUN-0072</t>
  </si>
  <si>
    <t>RUN-0073</t>
  </si>
  <si>
    <t>RUN-0074</t>
  </si>
  <si>
    <t>RUN-0075</t>
  </si>
  <si>
    <t>RUN-0076</t>
  </si>
  <si>
    <t>RUN-0077</t>
  </si>
  <si>
    <t>RUN-0078</t>
  </si>
  <si>
    <t>RUN-0079</t>
  </si>
  <si>
    <t>RUN-0080</t>
  </si>
  <si>
    <t>RUN-0081</t>
  </si>
  <si>
    <t>RUN-0082</t>
  </si>
  <si>
    <t>RUN-0083</t>
  </si>
  <si>
    <t>RUN-0084</t>
  </si>
  <si>
    <t>RUN-0085</t>
  </si>
  <si>
    <t>RUN-0086</t>
  </si>
  <si>
    <t>RUN-0087</t>
  </si>
  <si>
    <t>RUN-0088</t>
  </si>
  <si>
    <t>RUN-0089</t>
  </si>
  <si>
    <t>RUN-0090</t>
  </si>
  <si>
    <t>RUN-0091</t>
  </si>
  <si>
    <t>RUN-0092</t>
  </si>
  <si>
    <t>RUN-0093</t>
  </si>
  <si>
    <t>RUN-0094</t>
  </si>
  <si>
    <t>RUN-0095</t>
  </si>
  <si>
    <t>RUN-0096</t>
  </si>
  <si>
    <t>RUN-0097</t>
  </si>
  <si>
    <t>RUN-0098</t>
  </si>
  <si>
    <t>RUN-0099</t>
  </si>
  <si>
    <t>RUN-0100</t>
  </si>
  <si>
    <t>ACCEPTANCE CRITERIA</t>
  </si>
  <si>
    <t>Ngưỡng đề xuất cho RC; Product Owner và ODM cần ký xác nhận trước nghiệm thu chính thức.</t>
  </si>
  <si>
    <t>AC_ID</t>
  </si>
  <si>
    <t>Chỉ số</t>
  </si>
  <si>
    <t>Cách đo</t>
  </si>
  <si>
    <t>Mẫu tối thiểu</t>
  </si>
  <si>
    <t>Mức chặn</t>
  </si>
  <si>
    <t>AC-01</t>
  </si>
  <si>
    <t>Tỷ lệ short press thành công</t>
  </si>
  <si>
    <t>≥99%</t>
  </si>
  <si>
    <t>Log sequence/event/action</t>
  </si>
  <si>
    <t>Release blocker</t>
  </si>
  <si>
    <t>Không action đôi</t>
  </si>
  <si>
    <t>AC-02</t>
  </si>
  <si>
    <t>Audio concurrency</t>
  </si>
  <si>
    <t>TTS–micro chồng chéo</t>
  </si>
  <si>
    <t>0 lỗi</t>
  </si>
  <si>
    <t>Video/log state</t>
  </si>
  <si>
    <t>Không tự nghe tiếng Bi cô</t>
  </si>
  <si>
    <t>AC-03</t>
  </si>
  <si>
    <t>ASR baseline</t>
  </si>
  <si>
    <t>0,5–1 m; 35–40 dBA</t>
  </si>
  <si>
    <t>Intent/meaning correct</t>
  </si>
  <si>
    <t>Theo 5 nhóm tuổi</t>
  </si>
  <si>
    <t>AC-04</t>
  </si>
  <si>
    <t>ASR lớp học</t>
  </si>
  <si>
    <t>65–70 dBA</t>
  </si>
  <si>
    <t>≥90%</t>
  </si>
  <si>
    <t>High</t>
  </si>
  <si>
    <t>Không false activation</t>
  </si>
  <si>
    <t>AC-05</t>
  </si>
  <si>
    <t>ASR tốc độ</t>
  </si>
  <si>
    <t>Chậm và nhanh</t>
  </si>
  <si>
    <t>Không cắt đầu/cuối</t>
  </si>
  <si>
    <t>AC-06</t>
  </si>
  <si>
    <t>ASR khoảng cách</t>
  </si>
  <si>
    <t>2 m</t>
  </si>
  <si>
    <t>≥85%</t>
  </si>
  <si>
    <t>Medium</t>
  </si>
  <si>
    <t>3 m là stress/quan sát</t>
  </si>
  <si>
    <t>AC-07</t>
  </si>
  <si>
    <t>BLE/HFP reconnect ≤10s</t>
  </si>
  <si>
    <t>30 vòng/H20</t>
  </si>
  <si>
    <t>Subscribe Indicate lại</t>
  </si>
  <si>
    <t>AC-08</t>
  </si>
  <si>
    <t>Beep timing</t>
  </si>
  <si>
    <t>Prompt end → beep</t>
  </si>
  <si>
    <t>≤300 ms P95</t>
  </si>
  <si>
    <t>Video 60fps/timestamp</t>
  </si>
  <si>
    <t>AC-09</t>
  </si>
  <si>
    <t>Mic ready</t>
  </si>
  <si>
    <t>Beep → mic ready</t>
  </si>
  <si>
    <t>Log/UI timestamp</t>
  </si>
  <si>
    <t>AC-10</t>
  </si>
  <si>
    <t>Text latency</t>
  </si>
  <si>
    <t>Speech end → transcript</t>
  </si>
  <si>
    <t>≤2.5 s P95</t>
  </si>
  <si>
    <t>Telemetry</t>
  </si>
  <si>
    <t>Mạng tốt</t>
  </si>
  <si>
    <t>AC-11</t>
  </si>
  <si>
    <t>Audio latency</t>
  </si>
  <si>
    <t>Speech end → result audio</t>
  </si>
  <si>
    <t>≤5 s P95</t>
  </si>
  <si>
    <t>AC-12</t>
  </si>
  <si>
    <t>Soak 2 giờ/100 lượt</t>
  </si>
  <si>
    <t>Logcat + quan sát</t>
  </si>
  <si>
    <t>AC-13</t>
  </si>
  <si>
    <t>Offline H20</t>
  </si>
  <si>
    <t>Loopback không gọi cloud</t>
  </si>
  <si>
    <t>100%</t>
  </si>
  <si>
    <t>Network log</t>
  </si>
  <si>
    <t>AC-14</t>
  </si>
  <si>
    <t>Route</t>
  </si>
  <si>
    <t>Mic/loa H20 được xác nhận</t>
  </si>
  <si>
    <t>Android audio route + nghe thực tế</t>
  </si>
  <si>
    <t>Không fallback ẩn</t>
  </si>
  <si>
    <t>AC-15</t>
  </si>
  <si>
    <t>Secret trong APK/cleartext</t>
  </si>
  <si>
    <t>Static/dynamic scan</t>
  </si>
  <si>
    <t>AC-16</t>
  </si>
  <si>
    <t>Consent/retention/delete</t>
  </si>
  <si>
    <t>100% tuân thủ</t>
  </si>
  <si>
    <t>Audit</t>
  </si>
  <si>
    <t>Dữ liệu trẻ em</t>
  </si>
  <si>
    <t>INITIAL FINDINGS — 2026-08-17</t>
  </si>
  <si>
    <t>Kết quả kiểm tra Android Studio, cấu hình Flutter và automated test trước khi test H20 thật.</t>
  </si>
  <si>
    <t>Mức độ</t>
  </si>
  <si>
    <t>Phát hiện</t>
  </si>
  <si>
    <t>Bằng chứng</t>
  </si>
  <si>
    <t>Ảnh hưởng</t>
  </si>
  <si>
    <t>Hành động trước nghiệm thu</t>
  </si>
  <si>
    <t>Owner</t>
  </si>
  <si>
    <t>F-01</t>
  </si>
  <si>
    <t>Blocker</t>
  </si>
  <si>
    <t>Chưa có điện thoại Android thật hoặc H20 kết nối</t>
  </si>
  <si>
    <t>flutter devices chỉ thấy emulator-5554 Android 16/API 36</t>
  </si>
  <si>
    <t>Không thể xác nhận BLE/HFP/mic/loa/MAIN vật lý</t>
  </si>
  <si>
    <t>Kết nối ít nhất 4 điện thoại thật và 2 H20 pilot</t>
  </si>
  <si>
    <t>QA/HW</t>
  </si>
  <si>
    <t>Open</t>
  </si>
  <si>
    <t>F-02</t>
  </si>
  <si>
    <t>Automated test chưa xanh</t>
  </si>
  <si>
    <t>flutter test: 344 Passed, 3 Failed</t>
  </si>
  <si>
    <t>Không nên dùng build làm baseline nghiệm thu</t>
  </si>
  <si>
    <t>Sửa/review 3 test fail rồi chạy regression</t>
  </si>
  <si>
    <t>Flutter</t>
  </si>
  <si>
    <t>F-03</t>
  </si>
  <si>
    <t>Golden popup nhắc học lệch 0,24%</t>
  </si>
  <si>
    <t>797 pixels khác reference</t>
  </si>
  <si>
    <t>Có thể là thay đổi UI chưa được duyệt</t>
  </si>
  <si>
    <t>So sánh diff và duyệt/sửa UI</t>
  </si>
  <si>
    <t>UI/QA</t>
  </si>
  <si>
    <t>F-04</t>
  </si>
  <si>
    <t>Golden pháo hoa chúc mừng lệch 0,24%</t>
  </si>
  <si>
    <t>Ảnh hưởng giao diện bài học</t>
  </si>
  <si>
    <t>F-05</t>
  </si>
  <si>
    <t>Test Main mở menu rồi vào speaking trả false</t>
  </si>
  <si>
    <t>Expected true, Actual false</t>
  </si>
  <si>
    <t>Rủi ro Main không bắt đầu đúng luồng</t>
  </si>
  <si>
    <t>Phân tích voice_navigation_controller_test.dart</t>
  </si>
  <si>
    <t>F-06</t>
  </si>
  <si>
    <t>AIV0_DRAFT_PROTOCOL_CONFIRMED mặc định false</t>
  </si>
  <si>
    <t>AppConfig mặc định false</t>
  </si>
  <si>
    <t>MAIN H20 chỉ Raw Hex nếu build thiếu dart-define</t>
  </si>
  <si>
    <t>Build RC đã xác nhận với flag true</t>
  </si>
  <si>
    <t>F-07</t>
  </si>
  <si>
    <t>Release có thể ký debug nếu thiếu key.properties</t>
  </si>
  <si>
    <t>build.gradle.kts fallback debug signing</t>
  </si>
  <si>
    <t>Không phù hợp Play Store/upgrade production</t>
  </si>
  <si>
    <t>Cung cấp production keystore</t>
  </si>
  <si>
    <t>F-08</t>
  </si>
  <si>
    <t>Info</t>
  </si>
  <si>
    <t>H20 V1 dùng HFP/SCO cho audio và BLE cho control</t>
  </si>
  <si>
    <t>9E3B0001/2/3; Battery 180F; Firmware 180A</t>
  </si>
  <si>
    <t>Test phải tách audio route và control route</t>
  </si>
  <si>
    <t>Dùng ma trận H20 trong workbook</t>
  </si>
  <si>
    <t>Accepted</t>
  </si>
  <si>
    <t>F-09</t>
  </si>
  <si>
    <t>Catalog có 5 nhóm, 50 chủ đề, 101 bài, 11 bài hát</t>
  </si>
  <si>
    <t>JSON + automated test</t>
  </si>
  <si>
    <t>Cần sampling và data integrity toàn catalog</t>
  </si>
  <si>
    <t>Chạy data integrity + mẫu mỗi nhóm</t>
  </si>
  <si>
    <t>Content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</si>
</sst>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%"/>
  </numFmts>
  <fonts count="8">
    <font>
      <sz val="11"/>
      <name val="Carlito"/>
    </font>
    <font>
      <b/>
      <sz val="18"/>
      <color rgb="FFFFFFFF"/>
      <name val="Carlito"/>
    </font>
    <font>
      <i/>
      <sz val="10"/>
      <color rgb="FF12305B"/>
      <name val="Carlito"/>
    </font>
    <font>
      <b/>
      <sz val="11"/>
      <color rgb="FFFFFFFF"/>
      <name val="Carlito"/>
    </font>
    <font>
      <sz val="10"/>
      <color rgb="FF14213D"/>
      <name val="Carlito"/>
    </font>
    <font>
      <b/>
      <sz val="10"/>
      <color rgb="FF12305B"/>
      <name val="Carlito"/>
    </font>
    <font>
      <b/>
      <sz val="11"/>
      <color rgb="FF12305B"/>
      <name val="Carlito"/>
    </font>
    <font>
      <b/>
      <sz val="18"/>
      <color rgb="FF3159D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5B"/>
      </patternFill>
    </fill>
    <fill>
      <patternFill patternType="solid">
        <fgColor rgb="FFE8EFFC"/>
      </patternFill>
    </fill>
    <fill>
      <patternFill patternType="solid">
        <fgColor rgb="FF3159D9"/>
      </patternFill>
    </fill>
    <fill>
      <patternFill patternType="solid">
        <fgColor rgb="FF0F718C"/>
      </patternFill>
    </fill>
    <fill>
      <patternFill patternType="solid">
        <fgColor rgb="FFDDF3FA"/>
      </patternFill>
    </fill>
    <fill>
      <patternFill patternType="solid">
        <fgColor rgb="FFF6F8FC"/>
      </patternFill>
    </fill>
  </fills>
  <borders count="1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DF2F7"/>
      </right>
      <top/>
      <bottom style="thin">
        <color rgb="FFDDE6F0"/>
      </bottom>
      <diagonal/>
    </border>
    <border>
      <left style="thin">
        <color rgb="FFEDF2F7"/>
      </left>
      <right style="thin">
        <color rgb="FFEDF2F7"/>
      </right>
      <top/>
      <bottom style="thin">
        <color rgb="FFDDE6F0"/>
      </bottom>
      <diagonal/>
    </border>
    <border>
      <left style="thin">
        <color rgb="FFEDF2F7"/>
      </left>
      <right/>
      <top/>
      <bottom style="thin">
        <color rgb="FFDDE6F0"/>
      </bottom>
      <diagonal/>
    </border>
    <border>
      <left/>
      <right style="thin">
        <color rgb="FFEDF2F7"/>
      </right>
      <top style="thin">
        <color rgb="FFDDE6F0"/>
      </top>
      <bottom style="thin">
        <color rgb="FFDDE6F0"/>
      </bottom>
      <diagonal/>
    </border>
    <border>
      <left style="thin">
        <color rgb="FFEDF2F7"/>
      </left>
      <right style="thin">
        <color rgb="FFEDF2F7"/>
      </right>
      <top style="thin">
        <color rgb="FFDDE6F0"/>
      </top>
      <bottom style="thin">
        <color rgb="FFDDE6F0"/>
      </bottom>
      <diagonal/>
    </border>
    <border>
      <left style="thin">
        <color rgb="FFEDF2F7"/>
      </left>
      <right/>
      <top style="thin">
        <color rgb="FFDDE6F0"/>
      </top>
      <bottom style="thin">
        <color rgb="FFDDE6F0"/>
      </bottom>
      <diagonal/>
    </border>
    <border>
      <left/>
      <right style="thin">
        <color rgb="FFEDF2F7"/>
      </right>
      <top style="thin">
        <color rgb="FFDDE6F0"/>
      </top>
      <bottom/>
      <diagonal/>
    </border>
    <border>
      <left style="thin">
        <color rgb="FFEDF2F7"/>
      </left>
      <right style="thin">
        <color rgb="FFEDF2F7"/>
      </right>
      <top style="thin">
        <color rgb="FFDDE6F0"/>
      </top>
      <bottom/>
      <diagonal/>
    </border>
    <border>
      <left style="thin">
        <color rgb="FFEDF2F7"/>
      </left>
      <right/>
      <top style="thin">
        <color rgb="FFDDE6F0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1" fontId="4" fillId="0" borderId="5" xfId="0" applyNumberFormat="1" applyFont="1" applyBorder="1" applyAlignment="1">
      <alignment vertical="top" wrapText="1"/>
    </xf>
    <xf numFmtId="1" fontId="4" fillId="0" borderId="8" xfId="0" applyNumberFormat="1" applyFont="1" applyBorder="1" applyAlignment="1">
      <alignment vertical="top" wrapText="1"/>
    </xf>
    <xf numFmtId="1" fontId="4" fillId="0" borderId="11" xfId="0" applyNumberFormat="1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vertical="top" wrapText="1"/>
    </xf>
    <xf numFmtId="164" fontId="4" fillId="0" borderId="8" xfId="0" applyNumberFormat="1" applyFont="1" applyBorder="1" applyAlignment="1">
      <alignment vertical="top" wrapText="1"/>
    </xf>
    <xf numFmtId="164" fontId="4" fillId="0" borderId="11" xfId="0" applyNumberFormat="1" applyFont="1" applyBorder="1" applyAlignment="1">
      <alignment vertical="top" wrapText="1"/>
    </xf>
    <xf numFmtId="3" fontId="4" fillId="0" borderId="5" xfId="0" applyNumberFormat="1" applyFont="1" applyBorder="1" applyAlignment="1">
      <alignment vertical="top" wrapText="1"/>
    </xf>
    <xf numFmtId="3" fontId="4" fillId="0" borderId="6" xfId="0" applyNumberFormat="1" applyFont="1" applyBorder="1" applyAlignment="1">
      <alignment vertical="top" wrapText="1"/>
    </xf>
    <xf numFmtId="3" fontId="4" fillId="0" borderId="8" xfId="0" applyNumberFormat="1" applyFont="1" applyBorder="1" applyAlignment="1">
      <alignment vertical="top" wrapText="1"/>
    </xf>
    <xf numFmtId="3" fontId="4" fillId="0" borderId="9" xfId="0" applyNumberFormat="1" applyFont="1" applyBorder="1" applyAlignment="1">
      <alignment vertical="top" wrapText="1"/>
    </xf>
    <xf numFmtId="3" fontId="4" fillId="0" borderId="11" xfId="0" applyNumberFormat="1" applyFont="1" applyBorder="1" applyAlignment="1">
      <alignment vertical="top" wrapText="1"/>
    </xf>
    <xf numFmtId="3" fontId="4" fillId="0" borderId="12" xfId="0" applyNumberFormat="1" applyFont="1" applyBorder="1" applyAlignment="1">
      <alignment vertical="top" wrapText="1"/>
    </xf>
    <xf numFmtId="0" fontId="5" fillId="6" borderId="10" xfId="0" applyFont="1" applyFill="1" applyBorder="1" applyAlignment="1">
      <alignment vertical="top" wrapText="1"/>
    </xf>
    <xf numFmtId="0" fontId="5" fillId="6" borderId="11" xfId="0" applyFont="1" applyFill="1" applyBorder="1" applyAlignment="1">
      <alignment vertical="top" wrapText="1"/>
    </xf>
    <xf numFmtId="0" fontId="5" fillId="6" borderId="12" xfId="0" applyFont="1" applyFill="1" applyBorder="1" applyAlignment="1">
      <alignment vertical="top" wrapText="1"/>
    </xf>
    <xf numFmtId="165" fontId="4" fillId="0" borderId="5" xfId="0" applyNumberFormat="1" applyFont="1" applyBorder="1" applyAlignment="1">
      <alignment vertical="top" wrapText="1"/>
    </xf>
    <xf numFmtId="165" fontId="4" fillId="0" borderId="8" xfId="0" applyNumberFormat="1" applyFont="1" applyBorder="1" applyAlignment="1">
      <alignment vertical="top" wrapText="1"/>
    </xf>
    <xf numFmtId="165" fontId="4" fillId="0" borderId="11" xfId="0" applyNumberFormat="1" applyFont="1" applyBorder="1" applyAlignment="1">
      <alignment vertical="top" wrapText="1"/>
    </xf>
    <xf numFmtId="0" fontId="6" fillId="7" borderId="13" xfId="0" applyFont="1" applyFill="1" applyBorder="1"/>
    <xf numFmtId="0" fontId="6" fillId="7" borderId="14" xfId="0" applyFont="1" applyFill="1" applyBorder="1"/>
    <xf numFmtId="0" fontId="6" fillId="7" borderId="15" xfId="0" applyFont="1" applyFill="1" applyBorder="1"/>
    <xf numFmtId="0" fontId="7" fillId="7" borderId="16" xfId="0" applyFont="1" applyFill="1" applyBorder="1"/>
    <xf numFmtId="0" fontId="7" fillId="7" borderId="17" xfId="0" applyFont="1" applyFill="1" applyBorder="1"/>
    <xf numFmtId="0" fontId="7" fillId="7" borderId="18" xfId="0" applyFont="1" applyFill="1" applyBorder="1"/>
    <xf numFmtId="166" fontId="4" fillId="0" borderId="8" xfId="0" applyNumberFormat="1" applyFont="1" applyBorder="1" applyAlignment="1">
      <alignment vertical="top" wrapText="1"/>
    </xf>
    <xf numFmtId="166" fontId="4" fillId="0" borderId="1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Tiến độ test case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Số lượng</c:v>
          </c:tx>
          <c:cat>
            <c:strRef>
              <c:f>Dashboard!$A$9:$A$13</c:f>
              <c:strCache>
                <c:ptCount val="5"/>
                <c:pt idx="0">
                  <c:v>Not Run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  <c:pt idx="4">
                  <c:v>N/A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102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B-400B-AFC5-604C58AD5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Số test theo nhóm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test</c:v>
          </c:tx>
          <c:invertIfNegative val="1"/>
          <c:cat>
            <c:strRef>
              <c:f>Dashboard!$D$9:$D$16</c:f>
              <c:strCache>
                <c:ptCount val="8"/>
                <c:pt idx="0">
                  <c:v>Cài đặt &amp; Android</c:v>
                </c:pt>
                <c:pt idx="1">
                  <c:v>Main &amp; Bi cô</c:v>
                </c:pt>
                <c:pt idx="2">
                  <c:v>Điều hướng AI</c:v>
                </c:pt>
                <c:pt idx="3">
                  <c:v>Dịch &amp; Luyện nói</c:v>
                </c:pt>
                <c:pt idx="4">
                  <c:v>Chủ đề &amp; Bài học</c:v>
                </c:pt>
                <c:pt idx="5">
                  <c:v>Từ vựng &amp; Cài đặt</c:v>
                </c:pt>
                <c:pt idx="6">
                  <c:v>H20 phần cứng</c:v>
                </c:pt>
                <c:pt idx="7">
                  <c:v>Phi chức năng</c:v>
                </c:pt>
              </c:strCache>
            </c:strRef>
          </c:cat>
          <c:val>
            <c:numRef>
              <c:f>Dashboard!$E$9:$E$16</c:f>
              <c:numCache>
                <c:formatCode>General</c:formatCode>
                <c:ptCount val="8"/>
                <c:pt idx="0">
                  <c:v>8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17</c:v>
                </c:pt>
                <c:pt idx="5">
                  <c:v>7</c:v>
                </c:pt>
                <c:pt idx="6">
                  <c:v>27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8-424F-9708-18118F0EB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20TestCases" displayName="H20TestCases" ref="A4:R106" totalsRowShown="0">
  <autoFilter ref="A4:R106" xr:uid="{00000000-0009-0000-0100-000001000000}"/>
  <tableColumns count="18">
    <tableColumn id="1" xr3:uid="{00000000-0010-0000-0000-000001000000}" name="TC_ID"/>
    <tableColumn id="2" xr3:uid="{00000000-0010-0000-0000-000002000000}" name="Nhóm"/>
    <tableColumn id="3" xr3:uid="{00000000-0010-0000-0000-000003000000}" name="Tính năng"/>
    <tableColumn id="4" xr3:uid="{00000000-0010-0000-0000-000004000000}" name="Kịch bản"/>
    <tableColumn id="5" xr3:uid="{00000000-0010-0000-0000-000005000000}" name="Điều kiện trước"/>
    <tableColumn id="6" xr3:uid="{00000000-0010-0000-0000-000006000000}" name="Các bước"/>
    <tableColumn id="7" xr3:uid="{00000000-0010-0000-0000-000007000000}" name="Dữ liệu/Môi trường"/>
    <tableColumn id="8" xr3:uid="{00000000-0010-0000-0000-000008000000}" name="Số lần"/>
    <tableColumn id="9" xr3:uid="{00000000-0010-0000-0000-000009000000}" name="Kết quả mong đợi"/>
    <tableColumn id="10" xr3:uid="{00000000-0010-0000-0000-00000A000000}" name="Chỉ số đạt"/>
    <tableColumn id="11" xr3:uid="{00000000-0010-0000-0000-00000B000000}" name="Priority"/>
    <tableColumn id="12" xr3:uid="{00000000-0010-0000-0000-00000C000000}" name="Loại test"/>
    <tableColumn id="13" xr3:uid="{00000000-0010-0000-0000-00000D000000}" name="Phụ trách"/>
    <tableColumn id="14" xr3:uid="{00000000-0010-0000-0000-00000E000000}" name="Status"/>
    <tableColumn id="15" xr3:uid="{00000000-0010-0000-0000-00000F000000}" name="Kết quả thực tế"/>
    <tableColumn id="16" xr3:uid="{00000000-0010-0000-0000-000010000000}" name="Evidence"/>
    <tableColumn id="17" xr3:uid="{00000000-0010-0000-0000-000011000000}" name="Bug ID"/>
    <tableColumn id="18" xr3:uid="{00000000-0010-0000-0000-000012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oiceFieldMatrix" displayName="VoiceFieldMatrix" ref="A4:N24" totalsRowShown="0">
  <tableColumns count="14">
    <tableColumn id="1" xr3:uid="{00000000-0010-0000-0100-000001000000}" name="Matrix ID"/>
    <tableColumn id="2" xr3:uid="{00000000-0010-0000-0100-000002000000}" name="Nhóm tuổi"/>
    <tableColumn id="3" xr3:uid="{00000000-0010-0000-0100-000003000000}" name="Điều kiện"/>
    <tableColumn id="4" xr3:uid="{00000000-0010-0000-0100-000004000000}" name="Khoảng cách (m)"/>
    <tableColumn id="5" xr3:uid="{00000000-0010-0000-0100-000005000000}" name="Góc"/>
    <tableColumn id="6" xr3:uid="{00000000-0010-0000-0100-000006000000}" name="Noise dBA"/>
    <tableColumn id="7" xr3:uid="{00000000-0010-0000-0100-000007000000}" name="Tốc độ"/>
    <tableColumn id="8" xr3:uid="{00000000-0010-0000-0100-000008000000}" name="Âm lượng"/>
    <tableColumn id="9" xr3:uid="{00000000-0010-0000-0100-000009000000}" name="Mạng"/>
    <tableColumn id="10" xr3:uid="{00000000-0010-0000-0100-00000A000000}" name="Số trẻ"/>
    <tableColumn id="11" xr3:uid="{00000000-0010-0000-0100-00000B000000}" name="Câu/trẻ"/>
    <tableColumn id="12" xr3:uid="{00000000-0010-0000-0100-00000C000000}" name="Lặp/câu"/>
    <tableColumn id="13" xr3:uid="{00000000-0010-0000-0100-00000D000000}" name="Số buổi"/>
    <tableColumn id="14" xr3:uid="{00000000-0010-0000-0100-00000E000000}" name="Tổng lượt nó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viceMatrix" displayName="DeviceMatrix" ref="A4:H14" totalsRowShown="0">
  <tableColumns count="8">
    <tableColumn id="1" xr3:uid="{00000000-0010-0000-0200-000001000000}" name="ID"/>
    <tableColumn id="2" xr3:uid="{00000000-0010-0000-0200-000002000000}" name="Loại"/>
    <tableColumn id="3" xr3:uid="{00000000-0010-0000-0200-000003000000}" name="Hệ điều hành/Firmware"/>
    <tableColumn id="4" xr3:uid="{00000000-0010-0000-0200-000004000000}" name="Mẫu đề xuất"/>
    <tableColumn id="5" xr3:uid="{00000000-0010-0000-0200-000005000000}" name="Mục tiêu"/>
    <tableColumn id="6" xr3:uid="{00000000-0010-0000-0200-000006000000}" name="Số lượng"/>
    <tableColumn id="7" xr3:uid="{00000000-0010-0000-0200-000007000000}" name="Trạng thái"/>
    <tableColumn id="8" xr3:uid="{00000000-0010-0000-0200-000008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eldExecutionLog" displayName="FieldExecutionLog" ref="A4:R104" totalsRowShown="0">
  <tableColumns count="18">
    <tableColumn id="1" xr3:uid="{00000000-0010-0000-0300-000001000000}" name="Run ID"/>
    <tableColumn id="2" xr3:uid="{00000000-0010-0000-0300-000002000000}" name="Ngày"/>
    <tableColumn id="3" xr3:uid="{00000000-0010-0000-0300-000003000000}" name="TC_ID"/>
    <tableColumn id="4" xr3:uid="{00000000-0010-0000-0300-000004000000}" name="Matrix ID"/>
    <tableColumn id="5" xr3:uid="{00000000-0010-0000-0300-000005000000}" name="Device ID"/>
    <tableColumn id="6" xr3:uid="{00000000-0010-0000-0300-000006000000}" name="H20 ID"/>
    <tableColumn id="7" xr3:uid="{00000000-0010-0000-0300-000007000000}" name="Participant ID"/>
    <tableColumn id="8" xr3:uid="{00000000-0010-0000-0300-000008000000}" name="Tuổi"/>
    <tableColumn id="9" xr3:uid="{00000000-0010-0000-0300-000009000000}" name="Khoảng cách"/>
    <tableColumn id="10" xr3:uid="{00000000-0010-0000-0300-00000A000000}" name="Noise dBA"/>
    <tableColumn id="11" xr3:uid="{00000000-0010-0000-0300-00000B000000}" name="Tốc độ"/>
    <tableColumn id="12" xr3:uid="{00000000-0010-0000-0300-00000C000000}" name="Câu đã nói"/>
    <tableColumn id="13" xr3:uid="{00000000-0010-0000-0300-00000D000000}" name="Transcript"/>
    <tableColumn id="14" xr3:uid="{00000000-0010-0000-0300-00000E000000}" name="Kết quả"/>
    <tableColumn id="15" xr3:uid="{00000000-0010-0000-0300-00000F000000}" name="Latency ms"/>
    <tableColumn id="16" xr3:uid="{00000000-0010-0000-0300-000010000000}" name="Evidence"/>
    <tableColumn id="17" xr3:uid="{00000000-0010-0000-0300-000011000000}" name="Bug ID"/>
    <tableColumn id="18" xr3:uid="{00000000-0010-0000-0300-000012000000}" name="Tes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ceptanceCriteria" displayName="AcceptanceCriteria" ref="A4:H20" totalsRowShown="0">
  <tableColumns count="8">
    <tableColumn id="1" xr3:uid="{00000000-0010-0000-0400-000001000000}" name="AC_ID"/>
    <tableColumn id="2" xr3:uid="{00000000-0010-0000-0400-000002000000}" name="Nhóm"/>
    <tableColumn id="3" xr3:uid="{00000000-0010-0000-0400-000003000000}" name="Chỉ số"/>
    <tableColumn id="4" xr3:uid="{00000000-0010-0000-0400-000004000000}" name="Mục tiêu"/>
    <tableColumn id="5" xr3:uid="{00000000-0010-0000-0400-000005000000}" name="Cách đo"/>
    <tableColumn id="6" xr3:uid="{00000000-0010-0000-0400-000006000000}" name="Mẫu tối thiểu"/>
    <tableColumn id="7" xr3:uid="{00000000-0010-0000-0400-000007000000}" name="Mức chặn"/>
    <tableColumn id="8" xr3:uid="{00000000-0010-0000-0400-000008000000}" name="Ghi ch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itialFindings" displayName="InitialFindings" ref="A4:H13" totalsRowShown="0">
  <tableColumns count="8">
    <tableColumn id="1" xr3:uid="{00000000-0010-0000-0500-000001000000}" name="ID"/>
    <tableColumn id="2" xr3:uid="{00000000-0010-0000-0500-000002000000}" name="Mức độ"/>
    <tableColumn id="3" xr3:uid="{00000000-0010-0000-0500-000003000000}" name="Phát hiện"/>
    <tableColumn id="4" xr3:uid="{00000000-0010-0000-0500-000004000000}" name="Bằng chứng"/>
    <tableColumn id="5" xr3:uid="{00000000-0010-0000-0500-000005000000}" name="Ảnh hưởng"/>
    <tableColumn id="6" xr3:uid="{00000000-0010-0000-0500-000006000000}" name="Hành động trước nghiệm thu"/>
    <tableColumn id="7" xr3:uid="{00000000-0010-0000-0500-000007000000}" name="Owner"/>
    <tableColumn id="8" xr3:uid="{00000000-0010-0000-05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showGridLines="0" topLeftCell="A10" workbookViewId="0">
      <selection sqref="A1:Q2"/>
    </sheetView>
  </sheetViews>
  <sheetFormatPr defaultRowHeight="13.8"/>
  <cols>
    <col min="1" max="1" width="18" customWidth="1"/>
    <col min="2" max="2" width="14" customWidth="1"/>
    <col min="3" max="3" width="3" customWidth="1"/>
    <col min="4" max="4" width="27" customWidth="1"/>
    <col min="5" max="5" width="14" customWidth="1"/>
    <col min="6" max="6" width="3" customWidth="1"/>
    <col min="7" max="7" width="25" customWidth="1"/>
    <col min="8" max="8" width="16" customWidth="1"/>
    <col min="9" max="9" width="3" customWidth="1"/>
    <col min="10" max="17" width="12" customWidth="1"/>
  </cols>
  <sheetData>
    <row r="1" spans="1:17" ht="34.049999999999997" customHeight="1">
      <c r="A1" s="42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42" t="s">
        <v>0</v>
      </c>
      <c r="G1" s="42" t="s">
        <v>0</v>
      </c>
      <c r="H1" s="42" t="s">
        <v>0</v>
      </c>
      <c r="I1" s="42" t="s">
        <v>0</v>
      </c>
      <c r="J1" s="42" t="s">
        <v>0</v>
      </c>
      <c r="K1" s="42" t="s">
        <v>0</v>
      </c>
      <c r="L1" s="42" t="s">
        <v>0</v>
      </c>
      <c r="M1" s="42" t="s">
        <v>0</v>
      </c>
      <c r="N1" s="42" t="s">
        <v>0</v>
      </c>
      <c r="O1" s="42" t="s">
        <v>0</v>
      </c>
      <c r="P1" s="42" t="s">
        <v>0</v>
      </c>
      <c r="Q1" s="42" t="s">
        <v>0</v>
      </c>
    </row>
    <row r="2" spans="1:17" ht="34.049999999999997" customHeight="1">
      <c r="A2" s="42" t="s">
        <v>0</v>
      </c>
      <c r="B2" s="42" t="s">
        <v>0</v>
      </c>
      <c r="C2" s="42" t="s">
        <v>0</v>
      </c>
      <c r="D2" s="42" t="s">
        <v>0</v>
      </c>
      <c r="E2" s="42" t="s">
        <v>0</v>
      </c>
      <c r="F2" s="42" t="s">
        <v>0</v>
      </c>
      <c r="G2" s="42" t="s">
        <v>0</v>
      </c>
      <c r="H2" s="42" t="s">
        <v>0</v>
      </c>
      <c r="I2" s="42" t="s">
        <v>0</v>
      </c>
      <c r="J2" s="42" t="s">
        <v>0</v>
      </c>
      <c r="K2" s="42" t="s">
        <v>0</v>
      </c>
      <c r="L2" s="42" t="s">
        <v>0</v>
      </c>
      <c r="M2" s="42" t="s">
        <v>0</v>
      </c>
      <c r="N2" s="42" t="s">
        <v>0</v>
      </c>
      <c r="O2" s="42" t="s">
        <v>0</v>
      </c>
      <c r="P2" s="42" t="s">
        <v>0</v>
      </c>
      <c r="Q2" s="42" t="s">
        <v>0</v>
      </c>
    </row>
    <row r="3" spans="1:17" ht="25.95" customHeight="1">
      <c r="A3" s="43" t="s">
        <v>1</v>
      </c>
      <c r="B3" s="43" t="s">
        <v>1</v>
      </c>
      <c r="C3" s="43" t="s">
        <v>1</v>
      </c>
      <c r="D3" s="43" t="s">
        <v>1</v>
      </c>
      <c r="E3" s="43" t="s">
        <v>1</v>
      </c>
      <c r="F3" s="43" t="s">
        <v>1</v>
      </c>
      <c r="G3" s="43" t="s">
        <v>1</v>
      </c>
      <c r="H3" s="43" t="s">
        <v>1</v>
      </c>
      <c r="I3" s="43" t="s">
        <v>1</v>
      </c>
      <c r="J3" s="43" t="s">
        <v>1</v>
      </c>
      <c r="K3" s="43" t="s">
        <v>1</v>
      </c>
      <c r="L3" s="43" t="s">
        <v>1</v>
      </c>
      <c r="M3" s="43" t="s">
        <v>1</v>
      </c>
      <c r="N3" s="43" t="s">
        <v>1</v>
      </c>
      <c r="O3" s="43" t="s">
        <v>1</v>
      </c>
      <c r="P3" s="43" t="s">
        <v>1</v>
      </c>
      <c r="Q3" s="43" t="s">
        <v>1</v>
      </c>
    </row>
    <row r="5" spans="1:17">
      <c r="A5" s="34" t="s">
        <v>2</v>
      </c>
      <c r="B5" s="35"/>
      <c r="C5" s="35" t="s">
        <v>3</v>
      </c>
      <c r="D5" s="35"/>
      <c r="E5" s="35" t="s">
        <v>4</v>
      </c>
      <c r="F5" s="35"/>
      <c r="G5" s="35" t="s">
        <v>5</v>
      </c>
      <c r="H5" s="36"/>
    </row>
    <row r="6" spans="1:17" ht="22.8">
      <c r="A6" s="37">
        <f>COUNTA('Test Cases'!$A$5:$A$250)</f>
        <v>102</v>
      </c>
      <c r="B6" s="38"/>
      <c r="C6" s="38">
        <f>COUNTIF('Test Cases'!$K$5:$K$250,"P0")</f>
        <v>82</v>
      </c>
      <c r="D6" s="38"/>
      <c r="E6" s="38">
        <f>COUNTIF('Test Cases'!$K$5:$K$250,"P1")</f>
        <v>16</v>
      </c>
      <c r="F6" s="38"/>
      <c r="G6" s="38">
        <f>SUM('Voice Matrix'!$N$5:$N$40)</f>
        <v>3000</v>
      </c>
      <c r="H6" s="39"/>
    </row>
    <row r="8" spans="1:17" ht="28.05" customHeight="1">
      <c r="A8" s="1" t="s">
        <v>6</v>
      </c>
      <c r="B8" s="3" t="s">
        <v>7</v>
      </c>
      <c r="D8" s="16" t="s">
        <v>8</v>
      </c>
      <c r="E8" s="18" t="s">
        <v>9</v>
      </c>
      <c r="G8" s="16" t="s">
        <v>10</v>
      </c>
      <c r="H8" s="18" t="s">
        <v>11</v>
      </c>
    </row>
    <row r="9" spans="1:17" ht="24" customHeight="1">
      <c r="A9" s="4" t="s">
        <v>12</v>
      </c>
      <c r="B9" s="5">
        <f>COUNTIF('Test Cases'!$N$5:$N$250,A9)</f>
        <v>102</v>
      </c>
      <c r="C9" s="5"/>
      <c r="D9" s="5" t="s">
        <v>13</v>
      </c>
      <c r="E9" s="5">
        <f>COUNTIF('Test Cases'!$B$5:$B$250,D9)</f>
        <v>8</v>
      </c>
      <c r="F9" s="5"/>
      <c r="G9" s="5" t="s">
        <v>14</v>
      </c>
      <c r="H9" s="6">
        <f>'Child Plan'!B10</f>
        <v>30</v>
      </c>
    </row>
    <row r="10" spans="1:17" ht="24" customHeight="1">
      <c r="A10" s="7" t="s">
        <v>15</v>
      </c>
      <c r="B10" s="8">
        <f>COUNTIF('Test Cases'!$N$5:$N$250,A10)</f>
        <v>0</v>
      </c>
      <c r="C10" s="8"/>
      <c r="D10" s="8" t="s">
        <v>16</v>
      </c>
      <c r="E10" s="8">
        <f>COUNTIF('Test Cases'!$B$5:$B$250,D10)</f>
        <v>13</v>
      </c>
      <c r="F10" s="8"/>
      <c r="G10" s="8" t="s">
        <v>17</v>
      </c>
      <c r="H10" s="9">
        <f>'Child Plan'!C10</f>
        <v>50</v>
      </c>
    </row>
    <row r="11" spans="1:17" ht="24" customHeight="1">
      <c r="A11" s="7" t="s">
        <v>18</v>
      </c>
      <c r="B11" s="8">
        <f>COUNTIF('Test Cases'!$N$5:$N$250,A11)</f>
        <v>0</v>
      </c>
      <c r="C11" s="8"/>
      <c r="D11" s="8" t="s">
        <v>19</v>
      </c>
      <c r="E11" s="8">
        <f>COUNTIF('Test Cases'!$B$5:$B$250,D11)</f>
        <v>12</v>
      </c>
      <c r="F11" s="8"/>
      <c r="G11" s="8" t="s">
        <v>20</v>
      </c>
      <c r="H11" s="9">
        <f>COUNTIF('Device Matrix'!$B$5:$B$20,"Android phone")-1</f>
        <v>4</v>
      </c>
    </row>
    <row r="12" spans="1:17" ht="24" customHeight="1">
      <c r="A12" s="7" t="s">
        <v>21</v>
      </c>
      <c r="B12" s="8">
        <f>COUNTIF('Test Cases'!$N$5:$N$250,A12)</f>
        <v>0</v>
      </c>
      <c r="C12" s="8"/>
      <c r="D12" s="8" t="s">
        <v>22</v>
      </c>
      <c r="E12" s="8">
        <f>COUNTIF('Test Cases'!$B$5:$B$250,D12)</f>
        <v>10</v>
      </c>
      <c r="F12" s="8"/>
      <c r="G12" s="8" t="s">
        <v>23</v>
      </c>
      <c r="H12" s="9">
        <f>COUNTIF('Device Matrix'!$B$5:$B$20,"H20 V1")</f>
        <v>5</v>
      </c>
    </row>
    <row r="13" spans="1:17" ht="24" customHeight="1">
      <c r="A13" s="7" t="s">
        <v>24</v>
      </c>
      <c r="B13" s="8">
        <f>COUNTIF('Test Cases'!$N$5:$N$250,A13)</f>
        <v>0</v>
      </c>
      <c r="C13" s="8"/>
      <c r="D13" s="8" t="s">
        <v>25</v>
      </c>
      <c r="E13" s="8">
        <f>COUNTIF('Test Cases'!$B$5:$B$250,D13)</f>
        <v>17</v>
      </c>
      <c r="F13" s="8"/>
      <c r="G13" s="8" t="s">
        <v>26</v>
      </c>
      <c r="H13" s="9">
        <f>344</f>
        <v>344</v>
      </c>
    </row>
    <row r="14" spans="1:17" ht="24" customHeight="1">
      <c r="A14" s="7"/>
      <c r="B14" s="8"/>
      <c r="C14" s="8"/>
      <c r="D14" s="8" t="s">
        <v>27</v>
      </c>
      <c r="E14" s="8">
        <f>COUNTIF('Test Cases'!$B$5:$B$250,D14)</f>
        <v>7</v>
      </c>
      <c r="F14" s="8"/>
      <c r="G14" s="8" t="s">
        <v>28</v>
      </c>
      <c r="H14" s="9">
        <f>3</f>
        <v>3</v>
      </c>
    </row>
    <row r="15" spans="1:17" ht="24" customHeight="1">
      <c r="A15" s="7" t="s">
        <v>29</v>
      </c>
      <c r="B15" s="8">
        <f>SUM(B10:B13)</f>
        <v>0</v>
      </c>
      <c r="C15" s="8"/>
      <c r="D15" s="8" t="s">
        <v>30</v>
      </c>
      <c r="E15" s="8">
        <f>COUNTIF('Test Cases'!$B$5:$B$250,D15)</f>
        <v>27</v>
      </c>
      <c r="F15" s="8"/>
      <c r="G15" s="8"/>
      <c r="H15" s="9"/>
    </row>
    <row r="16" spans="1:17" ht="24" customHeight="1">
      <c r="A16" s="7" t="s">
        <v>31</v>
      </c>
      <c r="B16" s="40">
        <f>IF(A6=0,0,B15/A6)</f>
        <v>0</v>
      </c>
      <c r="C16" s="8"/>
      <c r="D16" s="8" t="s">
        <v>32</v>
      </c>
      <c r="E16" s="8">
        <f>COUNTIF('Test Cases'!$B$5:$B$250,D16)</f>
        <v>8</v>
      </c>
      <c r="F16" s="8"/>
      <c r="G16" s="8"/>
      <c r="H16" s="9"/>
    </row>
    <row r="17" spans="1:8" ht="24" customHeight="1">
      <c r="A17" s="10" t="s">
        <v>33</v>
      </c>
      <c r="B17" s="41">
        <f>IF(B15=0,0,B10/B15)</f>
        <v>0</v>
      </c>
      <c r="C17" s="11"/>
      <c r="D17" s="11"/>
      <c r="E17" s="11"/>
      <c r="F17" s="11"/>
      <c r="G17" s="11"/>
      <c r="H17" s="12"/>
    </row>
  </sheetData>
  <mergeCells count="2">
    <mergeCell ref="A1:Q2"/>
    <mergeCell ref="A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6"/>
  <sheetViews>
    <sheetView showGridLines="0" workbookViewId="0">
      <selection activeCell="C10" sqref="C10"/>
    </sheetView>
  </sheetViews>
  <sheetFormatPr defaultRowHeight="13.8"/>
  <cols>
    <col min="1" max="1" width="11" customWidth="1"/>
    <col min="2" max="2" width="24" customWidth="1"/>
    <col min="3" max="3" width="18" customWidth="1"/>
    <col min="4" max="4" width="34" customWidth="1"/>
    <col min="5" max="5" width="36" customWidth="1"/>
    <col min="6" max="6" width="42" customWidth="1"/>
    <col min="7" max="7" width="30" customWidth="1"/>
    <col min="8" max="8" width="10" customWidth="1"/>
    <col min="9" max="9" width="38" customWidth="1"/>
    <col min="10" max="10" width="24" customWidth="1"/>
    <col min="11" max="11" width="10" customWidth="1"/>
    <col min="12" max="12" width="17" customWidth="1"/>
    <col min="13" max="13" width="13" customWidth="1"/>
    <col min="14" max="14" width="12" customWidth="1"/>
    <col min="15" max="15" width="28" customWidth="1"/>
    <col min="16" max="16" width="20" customWidth="1"/>
    <col min="17" max="17" width="14" customWidth="1"/>
    <col min="18" max="18" width="24" customWidth="1"/>
  </cols>
  <sheetData>
    <row r="1" spans="1:18" ht="34.049999999999997" customHeight="1">
      <c r="A1" s="42" t="s">
        <v>34</v>
      </c>
      <c r="B1" s="42" t="s">
        <v>34</v>
      </c>
      <c r="C1" s="42" t="s">
        <v>34</v>
      </c>
      <c r="D1" s="42" t="s">
        <v>34</v>
      </c>
      <c r="E1" s="42" t="s">
        <v>34</v>
      </c>
      <c r="F1" s="42" t="s">
        <v>34</v>
      </c>
      <c r="G1" s="42" t="s">
        <v>34</v>
      </c>
      <c r="H1" s="42" t="s">
        <v>34</v>
      </c>
    </row>
    <row r="2" spans="1:18" ht="25.95" customHeight="1">
      <c r="A2" s="43" t="s">
        <v>35</v>
      </c>
      <c r="B2" s="43" t="s">
        <v>35</v>
      </c>
      <c r="C2" s="43" t="s">
        <v>35</v>
      </c>
      <c r="D2" s="43" t="s">
        <v>35</v>
      </c>
      <c r="E2" s="43" t="s">
        <v>35</v>
      </c>
      <c r="F2" s="43" t="s">
        <v>35</v>
      </c>
      <c r="G2" s="43" t="s">
        <v>35</v>
      </c>
      <c r="H2" s="43" t="s">
        <v>35</v>
      </c>
    </row>
    <row r="4" spans="1:18" ht="28.05" customHeight="1">
      <c r="A4" s="1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6</v>
      </c>
      <c r="O4" s="2" t="s">
        <v>49</v>
      </c>
      <c r="P4" s="2" t="s">
        <v>50</v>
      </c>
      <c r="Q4" s="2" t="s">
        <v>51</v>
      </c>
      <c r="R4" s="3" t="s">
        <v>52</v>
      </c>
    </row>
    <row r="5" spans="1:18" ht="58.05" customHeight="1">
      <c r="A5" s="4" t="s">
        <v>53</v>
      </c>
      <c r="B5" s="5" t="s">
        <v>13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13">
        <v>3</v>
      </c>
      <c r="I5" s="5" t="s">
        <v>59</v>
      </c>
      <c r="J5" s="5" t="s">
        <v>60</v>
      </c>
      <c r="K5" s="5" t="s">
        <v>3</v>
      </c>
      <c r="L5" s="5" t="s">
        <v>61</v>
      </c>
      <c r="M5" s="5" t="s">
        <v>62</v>
      </c>
      <c r="N5" s="5" t="s">
        <v>12</v>
      </c>
      <c r="O5" s="5"/>
      <c r="P5" s="5"/>
      <c r="Q5" s="5"/>
      <c r="R5" s="6"/>
    </row>
    <row r="6" spans="1:18" ht="58.05" customHeight="1">
      <c r="A6" s="7" t="s">
        <v>63</v>
      </c>
      <c r="B6" s="8" t="s">
        <v>13</v>
      </c>
      <c r="C6" s="8" t="s">
        <v>64</v>
      </c>
      <c r="D6" s="8" t="s">
        <v>65</v>
      </c>
      <c r="E6" s="8" t="s">
        <v>66</v>
      </c>
      <c r="F6" s="8" t="s">
        <v>67</v>
      </c>
      <c r="G6" s="8" t="s">
        <v>68</v>
      </c>
      <c r="H6" s="14">
        <v>3</v>
      </c>
      <c r="I6" s="8" t="s">
        <v>69</v>
      </c>
      <c r="J6" s="8" t="s">
        <v>70</v>
      </c>
      <c r="K6" s="8" t="s">
        <v>3</v>
      </c>
      <c r="L6" s="8" t="s">
        <v>71</v>
      </c>
      <c r="M6" s="8" t="s">
        <v>62</v>
      </c>
      <c r="N6" s="8" t="s">
        <v>12</v>
      </c>
      <c r="O6" s="8"/>
      <c r="P6" s="8"/>
      <c r="Q6" s="8"/>
      <c r="R6" s="9"/>
    </row>
    <row r="7" spans="1:18" ht="58.05" customHeight="1">
      <c r="A7" s="7" t="s">
        <v>72</v>
      </c>
      <c r="B7" s="8" t="s">
        <v>13</v>
      </c>
      <c r="C7" s="8" t="s">
        <v>73</v>
      </c>
      <c r="D7" s="8" t="s">
        <v>74</v>
      </c>
      <c r="E7" s="8" t="s">
        <v>54</v>
      </c>
      <c r="F7" s="8" t="s">
        <v>75</v>
      </c>
      <c r="G7" s="8" t="s">
        <v>76</v>
      </c>
      <c r="H7" s="14">
        <v>3</v>
      </c>
      <c r="I7" s="8" t="s">
        <v>77</v>
      </c>
      <c r="J7" s="8" t="s">
        <v>60</v>
      </c>
      <c r="K7" s="8" t="s">
        <v>3</v>
      </c>
      <c r="L7" s="8" t="s">
        <v>78</v>
      </c>
      <c r="M7" s="8" t="s">
        <v>62</v>
      </c>
      <c r="N7" s="8" t="s">
        <v>12</v>
      </c>
      <c r="O7" s="8"/>
      <c r="P7" s="8"/>
      <c r="Q7" s="8"/>
      <c r="R7" s="9"/>
    </row>
    <row r="8" spans="1:18" ht="58.05" customHeight="1">
      <c r="A8" s="7" t="s">
        <v>79</v>
      </c>
      <c r="B8" s="8" t="s">
        <v>13</v>
      </c>
      <c r="C8" s="8" t="s">
        <v>73</v>
      </c>
      <c r="D8" s="8" t="s">
        <v>80</v>
      </c>
      <c r="E8" s="8" t="s">
        <v>54</v>
      </c>
      <c r="F8" s="8" t="s">
        <v>81</v>
      </c>
      <c r="G8" s="8" t="s">
        <v>82</v>
      </c>
      <c r="H8" s="14">
        <v>3</v>
      </c>
      <c r="I8" s="8" t="s">
        <v>83</v>
      </c>
      <c r="J8" s="8" t="s">
        <v>84</v>
      </c>
      <c r="K8" s="8" t="s">
        <v>3</v>
      </c>
      <c r="L8" s="8" t="s">
        <v>85</v>
      </c>
      <c r="M8" s="8" t="s">
        <v>62</v>
      </c>
      <c r="N8" s="8" t="s">
        <v>12</v>
      </c>
      <c r="O8" s="8"/>
      <c r="P8" s="8"/>
      <c r="Q8" s="8"/>
      <c r="R8" s="9"/>
    </row>
    <row r="9" spans="1:18" ht="58.05" customHeight="1">
      <c r="A9" s="7" t="s">
        <v>86</v>
      </c>
      <c r="B9" s="8" t="s">
        <v>13</v>
      </c>
      <c r="C9" s="8" t="s">
        <v>87</v>
      </c>
      <c r="D9" s="8" t="s">
        <v>88</v>
      </c>
      <c r="E9" s="8" t="s">
        <v>89</v>
      </c>
      <c r="F9" s="8" t="s">
        <v>90</v>
      </c>
      <c r="G9" s="8" t="s">
        <v>91</v>
      </c>
      <c r="H9" s="14">
        <v>3</v>
      </c>
      <c r="I9" s="8" t="s">
        <v>92</v>
      </c>
      <c r="J9" s="8" t="s">
        <v>84</v>
      </c>
      <c r="K9" s="8" t="s">
        <v>3</v>
      </c>
      <c r="L9" s="8" t="s">
        <v>78</v>
      </c>
      <c r="M9" s="8" t="s">
        <v>62</v>
      </c>
      <c r="N9" s="8" t="s">
        <v>12</v>
      </c>
      <c r="O9" s="8"/>
      <c r="P9" s="8"/>
      <c r="Q9" s="8"/>
      <c r="R9" s="9"/>
    </row>
    <row r="10" spans="1:18" ht="58.05" customHeight="1">
      <c r="A10" s="7" t="s">
        <v>93</v>
      </c>
      <c r="B10" s="8" t="s">
        <v>13</v>
      </c>
      <c r="C10" s="8" t="s">
        <v>94</v>
      </c>
      <c r="D10" s="8" t="s">
        <v>95</v>
      </c>
      <c r="E10" s="8" t="s">
        <v>96</v>
      </c>
      <c r="F10" s="8" t="s">
        <v>97</v>
      </c>
      <c r="G10" s="8" t="s">
        <v>98</v>
      </c>
      <c r="H10" s="14">
        <v>10</v>
      </c>
      <c r="I10" s="8" t="s">
        <v>99</v>
      </c>
      <c r="J10" s="8" t="s">
        <v>100</v>
      </c>
      <c r="K10" s="8" t="s">
        <v>3</v>
      </c>
      <c r="L10" s="8" t="s">
        <v>101</v>
      </c>
      <c r="M10" s="8" t="s">
        <v>62</v>
      </c>
      <c r="N10" s="8" t="s">
        <v>12</v>
      </c>
      <c r="O10" s="8"/>
      <c r="P10" s="8"/>
      <c r="Q10" s="8"/>
      <c r="R10" s="9"/>
    </row>
    <row r="11" spans="1:18" ht="58.05" customHeight="1">
      <c r="A11" s="7" t="s">
        <v>102</v>
      </c>
      <c r="B11" s="8" t="s">
        <v>13</v>
      </c>
      <c r="C11" s="8" t="s">
        <v>94</v>
      </c>
      <c r="D11" s="8" t="s">
        <v>103</v>
      </c>
      <c r="E11" s="8" t="s">
        <v>96</v>
      </c>
      <c r="F11" s="8" t="s">
        <v>104</v>
      </c>
      <c r="G11" s="8" t="s">
        <v>105</v>
      </c>
      <c r="H11" s="14">
        <v>10</v>
      </c>
      <c r="I11" s="8" t="s">
        <v>106</v>
      </c>
      <c r="J11" s="8" t="s">
        <v>107</v>
      </c>
      <c r="K11" s="8" t="s">
        <v>3</v>
      </c>
      <c r="L11" s="8" t="s">
        <v>101</v>
      </c>
      <c r="M11" s="8" t="s">
        <v>62</v>
      </c>
      <c r="N11" s="8" t="s">
        <v>12</v>
      </c>
      <c r="O11" s="8"/>
      <c r="P11" s="8"/>
      <c r="Q11" s="8"/>
      <c r="R11" s="9"/>
    </row>
    <row r="12" spans="1:18" ht="58.05" customHeight="1">
      <c r="A12" s="7" t="s">
        <v>108</v>
      </c>
      <c r="B12" s="8" t="s">
        <v>13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14">
        <v>3</v>
      </c>
      <c r="I12" s="8" t="s">
        <v>114</v>
      </c>
      <c r="J12" s="8" t="s">
        <v>60</v>
      </c>
      <c r="K12" s="8" t="s">
        <v>4</v>
      </c>
      <c r="L12" s="8" t="s">
        <v>115</v>
      </c>
      <c r="M12" s="8" t="s">
        <v>62</v>
      </c>
      <c r="N12" s="8" t="s">
        <v>12</v>
      </c>
      <c r="O12" s="8"/>
      <c r="P12" s="8"/>
      <c r="Q12" s="8"/>
      <c r="R12" s="9"/>
    </row>
    <row r="13" spans="1:18" ht="58.05" customHeight="1">
      <c r="A13" s="7" t="s">
        <v>116</v>
      </c>
      <c r="B13" s="8" t="s">
        <v>16</v>
      </c>
      <c r="C13" s="8" t="s">
        <v>117</v>
      </c>
      <c r="D13" s="8" t="s">
        <v>118</v>
      </c>
      <c r="E13" s="8" t="s">
        <v>96</v>
      </c>
      <c r="F13" s="8" t="s">
        <v>119</v>
      </c>
      <c r="G13" s="8" t="s">
        <v>120</v>
      </c>
      <c r="H13" s="14">
        <v>3</v>
      </c>
      <c r="I13" s="8" t="s">
        <v>121</v>
      </c>
      <c r="J13" s="8" t="s">
        <v>122</v>
      </c>
      <c r="K13" s="8" t="s">
        <v>4</v>
      </c>
      <c r="L13" s="8" t="s">
        <v>123</v>
      </c>
      <c r="M13" s="8" t="s">
        <v>62</v>
      </c>
      <c r="N13" s="8" t="s">
        <v>12</v>
      </c>
      <c r="O13" s="8"/>
      <c r="P13" s="8"/>
      <c r="Q13" s="8"/>
      <c r="R13" s="9"/>
    </row>
    <row r="14" spans="1:18" ht="58.05" customHeight="1">
      <c r="A14" s="7" t="s">
        <v>124</v>
      </c>
      <c r="B14" s="8" t="s">
        <v>16</v>
      </c>
      <c r="C14" s="8" t="s">
        <v>125</v>
      </c>
      <c r="D14" s="8" t="s">
        <v>126</v>
      </c>
      <c r="E14" s="8" t="s">
        <v>96</v>
      </c>
      <c r="F14" s="8" t="s">
        <v>127</v>
      </c>
      <c r="G14" s="8" t="s">
        <v>128</v>
      </c>
      <c r="H14" s="14">
        <v>10</v>
      </c>
      <c r="I14" s="8" t="s">
        <v>129</v>
      </c>
      <c r="J14" s="8" t="s">
        <v>130</v>
      </c>
      <c r="K14" s="8" t="s">
        <v>3</v>
      </c>
      <c r="L14" s="8" t="s">
        <v>115</v>
      </c>
      <c r="M14" s="8" t="s">
        <v>62</v>
      </c>
      <c r="N14" s="8" t="s">
        <v>12</v>
      </c>
      <c r="O14" s="8"/>
      <c r="P14" s="8"/>
      <c r="Q14" s="8"/>
      <c r="R14" s="9"/>
    </row>
    <row r="15" spans="1:18" ht="58.05" customHeight="1">
      <c r="A15" s="7" t="s">
        <v>131</v>
      </c>
      <c r="B15" s="8" t="s">
        <v>16</v>
      </c>
      <c r="C15" s="8" t="s">
        <v>132</v>
      </c>
      <c r="D15" s="8" t="s">
        <v>133</v>
      </c>
      <c r="E15" s="8" t="s">
        <v>96</v>
      </c>
      <c r="F15" s="8" t="s">
        <v>134</v>
      </c>
      <c r="G15" s="8" t="s">
        <v>135</v>
      </c>
      <c r="H15" s="14">
        <v>30</v>
      </c>
      <c r="I15" s="8" t="s">
        <v>136</v>
      </c>
      <c r="J15" s="8" t="s">
        <v>137</v>
      </c>
      <c r="K15" s="8" t="s">
        <v>3</v>
      </c>
      <c r="L15" s="8" t="s">
        <v>138</v>
      </c>
      <c r="M15" s="8" t="s">
        <v>62</v>
      </c>
      <c r="N15" s="8" t="s">
        <v>12</v>
      </c>
      <c r="O15" s="8"/>
      <c r="P15" s="8"/>
      <c r="Q15" s="8"/>
      <c r="R15" s="9"/>
    </row>
    <row r="16" spans="1:18" ht="58.05" customHeight="1">
      <c r="A16" s="7" t="s">
        <v>139</v>
      </c>
      <c r="B16" s="8" t="s">
        <v>16</v>
      </c>
      <c r="C16" s="8" t="s">
        <v>132</v>
      </c>
      <c r="D16" s="8" t="s">
        <v>140</v>
      </c>
      <c r="E16" s="8" t="s">
        <v>96</v>
      </c>
      <c r="F16" s="8" t="s">
        <v>141</v>
      </c>
      <c r="G16" s="8" t="s">
        <v>142</v>
      </c>
      <c r="H16" s="14">
        <v>30</v>
      </c>
      <c r="I16" s="8" t="s">
        <v>143</v>
      </c>
      <c r="J16" s="8" t="s">
        <v>144</v>
      </c>
      <c r="K16" s="8" t="s">
        <v>3</v>
      </c>
      <c r="L16" s="8" t="s">
        <v>138</v>
      </c>
      <c r="M16" s="8" t="s">
        <v>62</v>
      </c>
      <c r="N16" s="8" t="s">
        <v>12</v>
      </c>
      <c r="O16" s="8"/>
      <c r="P16" s="8"/>
      <c r="Q16" s="8"/>
      <c r="R16" s="9"/>
    </row>
    <row r="17" spans="1:18" ht="58.05" customHeight="1">
      <c r="A17" s="7" t="s">
        <v>145</v>
      </c>
      <c r="B17" s="8" t="s">
        <v>16</v>
      </c>
      <c r="C17" s="8" t="s">
        <v>132</v>
      </c>
      <c r="D17" s="8" t="s">
        <v>146</v>
      </c>
      <c r="E17" s="8" t="s">
        <v>96</v>
      </c>
      <c r="F17" s="8" t="s">
        <v>147</v>
      </c>
      <c r="G17" s="8" t="s">
        <v>148</v>
      </c>
      <c r="H17" s="14">
        <v>20</v>
      </c>
      <c r="I17" s="8" t="s">
        <v>149</v>
      </c>
      <c r="J17" s="8" t="s">
        <v>150</v>
      </c>
      <c r="K17" s="8" t="s">
        <v>3</v>
      </c>
      <c r="L17" s="8" t="s">
        <v>138</v>
      </c>
      <c r="M17" s="8" t="s">
        <v>62</v>
      </c>
      <c r="N17" s="8" t="s">
        <v>12</v>
      </c>
      <c r="O17" s="8"/>
      <c r="P17" s="8"/>
      <c r="Q17" s="8"/>
      <c r="R17" s="9"/>
    </row>
    <row r="18" spans="1:18" ht="58.05" customHeight="1">
      <c r="A18" s="7" t="s">
        <v>151</v>
      </c>
      <c r="B18" s="8" t="s">
        <v>16</v>
      </c>
      <c r="C18" s="8" t="s">
        <v>152</v>
      </c>
      <c r="D18" s="8" t="s">
        <v>153</v>
      </c>
      <c r="E18" s="8" t="s">
        <v>96</v>
      </c>
      <c r="F18" s="8" t="s">
        <v>154</v>
      </c>
      <c r="G18" s="8" t="s">
        <v>155</v>
      </c>
      <c r="H18" s="14">
        <v>10</v>
      </c>
      <c r="I18" s="8" t="s">
        <v>156</v>
      </c>
      <c r="J18" s="8" t="s">
        <v>157</v>
      </c>
      <c r="K18" s="8" t="s">
        <v>3</v>
      </c>
      <c r="L18" s="8" t="s">
        <v>158</v>
      </c>
      <c r="M18" s="8" t="s">
        <v>62</v>
      </c>
      <c r="N18" s="8" t="s">
        <v>12</v>
      </c>
      <c r="O18" s="8"/>
      <c r="P18" s="8"/>
      <c r="Q18" s="8"/>
      <c r="R18" s="9"/>
    </row>
    <row r="19" spans="1:18" ht="58.05" customHeight="1">
      <c r="A19" s="7" t="s">
        <v>159</v>
      </c>
      <c r="B19" s="8" t="s">
        <v>16</v>
      </c>
      <c r="C19" s="8" t="s">
        <v>152</v>
      </c>
      <c r="D19" s="8" t="s">
        <v>160</v>
      </c>
      <c r="E19" s="8" t="s">
        <v>96</v>
      </c>
      <c r="F19" s="8" t="s">
        <v>161</v>
      </c>
      <c r="G19" s="8" t="s">
        <v>162</v>
      </c>
      <c r="H19" s="14">
        <v>10</v>
      </c>
      <c r="I19" s="8" t="s">
        <v>163</v>
      </c>
      <c r="J19" s="8" t="s">
        <v>157</v>
      </c>
      <c r="K19" s="8" t="s">
        <v>3</v>
      </c>
      <c r="L19" s="8" t="s">
        <v>158</v>
      </c>
      <c r="M19" s="8" t="s">
        <v>62</v>
      </c>
      <c r="N19" s="8" t="s">
        <v>12</v>
      </c>
      <c r="O19" s="8"/>
      <c r="P19" s="8"/>
      <c r="Q19" s="8"/>
      <c r="R19" s="9"/>
    </row>
    <row r="20" spans="1:18" ht="58.05" customHeight="1">
      <c r="A20" s="7" t="s">
        <v>164</v>
      </c>
      <c r="B20" s="8" t="s">
        <v>16</v>
      </c>
      <c r="C20" s="8" t="s">
        <v>165</v>
      </c>
      <c r="D20" s="8" t="s">
        <v>166</v>
      </c>
      <c r="E20" s="8" t="s">
        <v>167</v>
      </c>
      <c r="F20" s="8" t="s">
        <v>168</v>
      </c>
      <c r="G20" s="8" t="s">
        <v>169</v>
      </c>
      <c r="H20" s="14">
        <v>20</v>
      </c>
      <c r="I20" s="8" t="s">
        <v>170</v>
      </c>
      <c r="J20" s="8" t="s">
        <v>171</v>
      </c>
      <c r="K20" s="8" t="s">
        <v>3</v>
      </c>
      <c r="L20" s="8" t="s">
        <v>115</v>
      </c>
      <c r="M20" s="8" t="s">
        <v>62</v>
      </c>
      <c r="N20" s="8" t="s">
        <v>12</v>
      </c>
      <c r="O20" s="8"/>
      <c r="P20" s="8"/>
      <c r="Q20" s="8"/>
      <c r="R20" s="9"/>
    </row>
    <row r="21" spans="1:18" ht="58.05" customHeight="1">
      <c r="A21" s="7" t="s">
        <v>172</v>
      </c>
      <c r="B21" s="8" t="s">
        <v>16</v>
      </c>
      <c r="C21" s="8" t="s">
        <v>165</v>
      </c>
      <c r="D21" s="8" t="s">
        <v>173</v>
      </c>
      <c r="E21" s="8" t="s">
        <v>174</v>
      </c>
      <c r="F21" s="8" t="s">
        <v>175</v>
      </c>
      <c r="G21" s="8" t="s">
        <v>176</v>
      </c>
      <c r="H21" s="14">
        <v>20</v>
      </c>
      <c r="I21" s="8" t="s">
        <v>177</v>
      </c>
      <c r="J21" s="8" t="s">
        <v>178</v>
      </c>
      <c r="K21" s="8" t="s">
        <v>3</v>
      </c>
      <c r="L21" s="8" t="s">
        <v>115</v>
      </c>
      <c r="M21" s="8" t="s">
        <v>62</v>
      </c>
      <c r="N21" s="8" t="s">
        <v>12</v>
      </c>
      <c r="O21" s="8"/>
      <c r="P21" s="8"/>
      <c r="Q21" s="8"/>
      <c r="R21" s="9"/>
    </row>
    <row r="22" spans="1:18" ht="58.05" customHeight="1">
      <c r="A22" s="7" t="s">
        <v>179</v>
      </c>
      <c r="B22" s="8" t="s">
        <v>16</v>
      </c>
      <c r="C22" s="8" t="s">
        <v>180</v>
      </c>
      <c r="D22" s="8" t="s">
        <v>181</v>
      </c>
      <c r="E22" s="8" t="s">
        <v>182</v>
      </c>
      <c r="F22" s="8" t="s">
        <v>183</v>
      </c>
      <c r="G22" s="8" t="s">
        <v>184</v>
      </c>
      <c r="H22" s="14">
        <v>30</v>
      </c>
      <c r="I22" s="8" t="s">
        <v>185</v>
      </c>
      <c r="J22" s="8" t="s">
        <v>186</v>
      </c>
      <c r="K22" s="8" t="s">
        <v>3</v>
      </c>
      <c r="L22" s="8" t="s">
        <v>138</v>
      </c>
      <c r="M22" s="8" t="s">
        <v>62</v>
      </c>
      <c r="N22" s="8" t="s">
        <v>12</v>
      </c>
      <c r="O22" s="8"/>
      <c r="P22" s="8"/>
      <c r="Q22" s="8"/>
      <c r="R22" s="9"/>
    </row>
    <row r="23" spans="1:18" ht="58.05" customHeight="1">
      <c r="A23" s="7" t="s">
        <v>187</v>
      </c>
      <c r="B23" s="8" t="s">
        <v>16</v>
      </c>
      <c r="C23" s="8" t="s">
        <v>188</v>
      </c>
      <c r="D23" s="8" t="s">
        <v>189</v>
      </c>
      <c r="E23" s="8" t="s">
        <v>190</v>
      </c>
      <c r="F23" s="8" t="s">
        <v>191</v>
      </c>
      <c r="G23" s="8" t="s">
        <v>192</v>
      </c>
      <c r="H23" s="14">
        <v>5</v>
      </c>
      <c r="I23" s="8" t="s">
        <v>193</v>
      </c>
      <c r="J23" s="8" t="s">
        <v>194</v>
      </c>
      <c r="K23" s="8" t="s">
        <v>3</v>
      </c>
      <c r="L23" s="8" t="s">
        <v>195</v>
      </c>
      <c r="M23" s="8" t="s">
        <v>62</v>
      </c>
      <c r="N23" s="8" t="s">
        <v>12</v>
      </c>
      <c r="O23" s="8"/>
      <c r="P23" s="8"/>
      <c r="Q23" s="8"/>
      <c r="R23" s="9"/>
    </row>
    <row r="24" spans="1:18" ht="58.05" customHeight="1">
      <c r="A24" s="7" t="s">
        <v>196</v>
      </c>
      <c r="B24" s="8" t="s">
        <v>16</v>
      </c>
      <c r="C24" s="8" t="s">
        <v>188</v>
      </c>
      <c r="D24" s="8" t="s">
        <v>197</v>
      </c>
      <c r="E24" s="8" t="s">
        <v>198</v>
      </c>
      <c r="F24" s="8" t="s">
        <v>199</v>
      </c>
      <c r="G24" s="8" t="s">
        <v>200</v>
      </c>
      <c r="H24" s="14">
        <v>10</v>
      </c>
      <c r="I24" s="8" t="s">
        <v>201</v>
      </c>
      <c r="J24" s="8" t="s">
        <v>157</v>
      </c>
      <c r="K24" s="8" t="s">
        <v>4</v>
      </c>
      <c r="L24" s="8" t="s">
        <v>195</v>
      </c>
      <c r="M24" s="8" t="s">
        <v>62</v>
      </c>
      <c r="N24" s="8" t="s">
        <v>12</v>
      </c>
      <c r="O24" s="8"/>
      <c r="P24" s="8"/>
      <c r="Q24" s="8"/>
      <c r="R24" s="9"/>
    </row>
    <row r="25" spans="1:18" ht="58.05" customHeight="1">
      <c r="A25" s="7" t="s">
        <v>202</v>
      </c>
      <c r="B25" s="8" t="s">
        <v>16</v>
      </c>
      <c r="C25" s="8" t="s">
        <v>203</v>
      </c>
      <c r="D25" s="8" t="s">
        <v>204</v>
      </c>
      <c r="E25" s="8" t="s">
        <v>96</v>
      </c>
      <c r="F25" s="8" t="s">
        <v>205</v>
      </c>
      <c r="G25" s="8" t="s">
        <v>206</v>
      </c>
      <c r="H25" s="14">
        <v>3</v>
      </c>
      <c r="I25" s="8" t="s">
        <v>207</v>
      </c>
      <c r="J25" s="8" t="s">
        <v>208</v>
      </c>
      <c r="K25" s="8" t="s">
        <v>3</v>
      </c>
      <c r="L25" s="8" t="s">
        <v>209</v>
      </c>
      <c r="M25" s="8" t="s">
        <v>62</v>
      </c>
      <c r="N25" s="8" t="s">
        <v>12</v>
      </c>
      <c r="O25" s="8"/>
      <c r="P25" s="8"/>
      <c r="Q25" s="8"/>
      <c r="R25" s="9"/>
    </row>
    <row r="26" spans="1:18" ht="58.05" customHeight="1">
      <c r="A26" s="7" t="s">
        <v>210</v>
      </c>
      <c r="B26" s="8" t="s">
        <v>19</v>
      </c>
      <c r="C26" s="8" t="s">
        <v>211</v>
      </c>
      <c r="D26" s="8" t="s">
        <v>212</v>
      </c>
      <c r="E26" s="8" t="s">
        <v>96</v>
      </c>
      <c r="F26" s="8" t="s">
        <v>213</v>
      </c>
      <c r="G26" s="8" t="s">
        <v>214</v>
      </c>
      <c r="H26" s="14">
        <v>5</v>
      </c>
      <c r="I26" s="8" t="s">
        <v>215</v>
      </c>
      <c r="J26" s="8" t="s">
        <v>216</v>
      </c>
      <c r="K26" s="8" t="s">
        <v>3</v>
      </c>
      <c r="L26" s="8" t="s">
        <v>195</v>
      </c>
      <c r="M26" s="8" t="s">
        <v>62</v>
      </c>
      <c r="N26" s="8" t="s">
        <v>12</v>
      </c>
      <c r="O26" s="8"/>
      <c r="P26" s="8"/>
      <c r="Q26" s="8"/>
      <c r="R26" s="9"/>
    </row>
    <row r="27" spans="1:18" ht="58.05" customHeight="1">
      <c r="A27" s="7" t="s">
        <v>217</v>
      </c>
      <c r="B27" s="8" t="s">
        <v>19</v>
      </c>
      <c r="C27" s="8" t="s">
        <v>211</v>
      </c>
      <c r="D27" s="8" t="s">
        <v>218</v>
      </c>
      <c r="E27" s="8" t="s">
        <v>96</v>
      </c>
      <c r="F27" s="8" t="s">
        <v>219</v>
      </c>
      <c r="G27" s="8" t="s">
        <v>214</v>
      </c>
      <c r="H27" s="14">
        <v>5</v>
      </c>
      <c r="I27" s="8" t="s">
        <v>220</v>
      </c>
      <c r="J27" s="8" t="s">
        <v>216</v>
      </c>
      <c r="K27" s="8" t="s">
        <v>3</v>
      </c>
      <c r="L27" s="8" t="s">
        <v>195</v>
      </c>
      <c r="M27" s="8" t="s">
        <v>62</v>
      </c>
      <c r="N27" s="8" t="s">
        <v>12</v>
      </c>
      <c r="O27" s="8"/>
      <c r="P27" s="8"/>
      <c r="Q27" s="8"/>
      <c r="R27" s="9"/>
    </row>
    <row r="28" spans="1:18" ht="58.05" customHeight="1">
      <c r="A28" s="7" t="s">
        <v>221</v>
      </c>
      <c r="B28" s="8" t="s">
        <v>19</v>
      </c>
      <c r="C28" s="8" t="s">
        <v>211</v>
      </c>
      <c r="D28" s="8" t="s">
        <v>222</v>
      </c>
      <c r="E28" s="8" t="s">
        <v>96</v>
      </c>
      <c r="F28" s="8" t="s">
        <v>223</v>
      </c>
      <c r="G28" s="8" t="s">
        <v>224</v>
      </c>
      <c r="H28" s="14">
        <v>5</v>
      </c>
      <c r="I28" s="8" t="s">
        <v>225</v>
      </c>
      <c r="J28" s="8" t="s">
        <v>216</v>
      </c>
      <c r="K28" s="8" t="s">
        <v>3</v>
      </c>
      <c r="L28" s="8" t="s">
        <v>195</v>
      </c>
      <c r="M28" s="8" t="s">
        <v>62</v>
      </c>
      <c r="N28" s="8" t="s">
        <v>12</v>
      </c>
      <c r="O28" s="8"/>
      <c r="P28" s="8"/>
      <c r="Q28" s="8"/>
      <c r="R28" s="9"/>
    </row>
    <row r="29" spans="1:18" ht="58.05" customHeight="1">
      <c r="A29" s="7" t="s">
        <v>226</v>
      </c>
      <c r="B29" s="8" t="s">
        <v>19</v>
      </c>
      <c r="C29" s="8" t="s">
        <v>211</v>
      </c>
      <c r="D29" s="8" t="s">
        <v>227</v>
      </c>
      <c r="E29" s="8" t="s">
        <v>96</v>
      </c>
      <c r="F29" s="8" t="s">
        <v>228</v>
      </c>
      <c r="G29" s="8" t="s">
        <v>229</v>
      </c>
      <c r="H29" s="14">
        <v>5</v>
      </c>
      <c r="I29" s="8" t="s">
        <v>230</v>
      </c>
      <c r="J29" s="8" t="s">
        <v>216</v>
      </c>
      <c r="K29" s="8" t="s">
        <v>3</v>
      </c>
      <c r="L29" s="8" t="s">
        <v>195</v>
      </c>
      <c r="M29" s="8" t="s">
        <v>62</v>
      </c>
      <c r="N29" s="8" t="s">
        <v>12</v>
      </c>
      <c r="O29" s="8"/>
      <c r="P29" s="8"/>
      <c r="Q29" s="8"/>
      <c r="R29" s="9"/>
    </row>
    <row r="30" spans="1:18" ht="58.05" customHeight="1">
      <c r="A30" s="7" t="s">
        <v>231</v>
      </c>
      <c r="B30" s="8" t="s">
        <v>19</v>
      </c>
      <c r="C30" s="8" t="s">
        <v>232</v>
      </c>
      <c r="D30" s="8" t="s">
        <v>233</v>
      </c>
      <c r="E30" s="8" t="s">
        <v>96</v>
      </c>
      <c r="F30" s="8" t="s">
        <v>234</v>
      </c>
      <c r="G30" s="8" t="s">
        <v>235</v>
      </c>
      <c r="H30" s="14">
        <v>5</v>
      </c>
      <c r="I30" s="8" t="s">
        <v>236</v>
      </c>
      <c r="J30" s="8" t="s">
        <v>216</v>
      </c>
      <c r="K30" s="8" t="s">
        <v>3</v>
      </c>
      <c r="L30" s="8" t="s">
        <v>237</v>
      </c>
      <c r="M30" s="8" t="s">
        <v>62</v>
      </c>
      <c r="N30" s="8" t="s">
        <v>12</v>
      </c>
      <c r="O30" s="8"/>
      <c r="P30" s="8"/>
      <c r="Q30" s="8"/>
      <c r="R30" s="9"/>
    </row>
    <row r="31" spans="1:18" ht="58.05" customHeight="1">
      <c r="A31" s="7" t="s">
        <v>238</v>
      </c>
      <c r="B31" s="8" t="s">
        <v>19</v>
      </c>
      <c r="C31" s="8" t="s">
        <v>232</v>
      </c>
      <c r="D31" s="8" t="s">
        <v>239</v>
      </c>
      <c r="E31" s="8" t="s">
        <v>96</v>
      </c>
      <c r="F31" s="8" t="s">
        <v>240</v>
      </c>
      <c r="G31" s="8" t="s">
        <v>241</v>
      </c>
      <c r="H31" s="14">
        <v>5</v>
      </c>
      <c r="I31" s="8" t="s">
        <v>242</v>
      </c>
      <c r="J31" s="8" t="s">
        <v>157</v>
      </c>
      <c r="K31" s="8" t="s">
        <v>4</v>
      </c>
      <c r="L31" s="8" t="s">
        <v>85</v>
      </c>
      <c r="M31" s="8" t="s">
        <v>62</v>
      </c>
      <c r="N31" s="8" t="s">
        <v>12</v>
      </c>
      <c r="O31" s="8"/>
      <c r="P31" s="8"/>
      <c r="Q31" s="8"/>
      <c r="R31" s="9"/>
    </row>
    <row r="32" spans="1:18" ht="58.05" customHeight="1">
      <c r="A32" s="7" t="s">
        <v>243</v>
      </c>
      <c r="B32" s="8" t="s">
        <v>19</v>
      </c>
      <c r="C32" s="8" t="s">
        <v>244</v>
      </c>
      <c r="D32" s="8" t="s">
        <v>245</v>
      </c>
      <c r="E32" s="8" t="s">
        <v>96</v>
      </c>
      <c r="F32" s="8" t="s">
        <v>246</v>
      </c>
      <c r="G32" s="8" t="s">
        <v>247</v>
      </c>
      <c r="H32" s="14">
        <v>5</v>
      </c>
      <c r="I32" s="8" t="s">
        <v>248</v>
      </c>
      <c r="J32" s="8" t="s">
        <v>216</v>
      </c>
      <c r="K32" s="8" t="s">
        <v>3</v>
      </c>
      <c r="L32" s="8" t="s">
        <v>195</v>
      </c>
      <c r="M32" s="8" t="s">
        <v>62</v>
      </c>
      <c r="N32" s="8" t="s">
        <v>12</v>
      </c>
      <c r="O32" s="8"/>
      <c r="P32" s="8"/>
      <c r="Q32" s="8"/>
      <c r="R32" s="9"/>
    </row>
    <row r="33" spans="1:18" ht="58.05" customHeight="1">
      <c r="A33" s="7" t="s">
        <v>249</v>
      </c>
      <c r="B33" s="8" t="s">
        <v>19</v>
      </c>
      <c r="C33" s="8" t="s">
        <v>244</v>
      </c>
      <c r="D33" s="8" t="s">
        <v>250</v>
      </c>
      <c r="E33" s="8" t="s">
        <v>96</v>
      </c>
      <c r="F33" s="8" t="s">
        <v>251</v>
      </c>
      <c r="G33" s="8" t="s">
        <v>252</v>
      </c>
      <c r="H33" s="14">
        <v>5</v>
      </c>
      <c r="I33" s="8" t="s">
        <v>253</v>
      </c>
      <c r="J33" s="8" t="s">
        <v>157</v>
      </c>
      <c r="K33" s="8" t="s">
        <v>4</v>
      </c>
      <c r="L33" s="8" t="s">
        <v>85</v>
      </c>
      <c r="M33" s="8" t="s">
        <v>62</v>
      </c>
      <c r="N33" s="8" t="s">
        <v>12</v>
      </c>
      <c r="O33" s="8"/>
      <c r="P33" s="8"/>
      <c r="Q33" s="8"/>
      <c r="R33" s="9"/>
    </row>
    <row r="34" spans="1:18" ht="58.05" customHeight="1">
      <c r="A34" s="7" t="s">
        <v>254</v>
      </c>
      <c r="B34" s="8" t="s">
        <v>19</v>
      </c>
      <c r="C34" s="8" t="s">
        <v>255</v>
      </c>
      <c r="D34" s="8" t="s">
        <v>256</v>
      </c>
      <c r="E34" s="8" t="s">
        <v>257</v>
      </c>
      <c r="F34" s="8" t="s">
        <v>258</v>
      </c>
      <c r="G34" s="8" t="s">
        <v>259</v>
      </c>
      <c r="H34" s="14">
        <v>5</v>
      </c>
      <c r="I34" s="8" t="s">
        <v>260</v>
      </c>
      <c r="J34" s="8" t="s">
        <v>261</v>
      </c>
      <c r="K34" s="8" t="s">
        <v>3</v>
      </c>
      <c r="L34" s="8" t="s">
        <v>71</v>
      </c>
      <c r="M34" s="8" t="s">
        <v>62</v>
      </c>
      <c r="N34" s="8" t="s">
        <v>12</v>
      </c>
      <c r="O34" s="8"/>
      <c r="P34" s="8"/>
      <c r="Q34" s="8"/>
      <c r="R34" s="9"/>
    </row>
    <row r="35" spans="1:18" ht="58.05" customHeight="1">
      <c r="A35" s="7" t="s">
        <v>262</v>
      </c>
      <c r="B35" s="8" t="s">
        <v>19</v>
      </c>
      <c r="C35" s="8" t="s">
        <v>255</v>
      </c>
      <c r="D35" s="8" t="s">
        <v>263</v>
      </c>
      <c r="E35" s="8" t="s">
        <v>257</v>
      </c>
      <c r="F35" s="8" t="s">
        <v>264</v>
      </c>
      <c r="G35" s="8" t="s">
        <v>265</v>
      </c>
      <c r="H35" s="14">
        <v>5</v>
      </c>
      <c r="I35" s="8" t="s">
        <v>266</v>
      </c>
      <c r="J35" s="8" t="s">
        <v>261</v>
      </c>
      <c r="K35" s="8" t="s">
        <v>3</v>
      </c>
      <c r="L35" s="8" t="s">
        <v>71</v>
      </c>
      <c r="M35" s="8" t="s">
        <v>62</v>
      </c>
      <c r="N35" s="8" t="s">
        <v>12</v>
      </c>
      <c r="O35" s="8"/>
      <c r="P35" s="8"/>
      <c r="Q35" s="8"/>
      <c r="R35" s="9"/>
    </row>
    <row r="36" spans="1:18" ht="58.05" customHeight="1">
      <c r="A36" s="7" t="s">
        <v>267</v>
      </c>
      <c r="B36" s="8" t="s">
        <v>19</v>
      </c>
      <c r="C36" s="8" t="s">
        <v>268</v>
      </c>
      <c r="D36" s="8" t="s">
        <v>269</v>
      </c>
      <c r="E36" s="8" t="s">
        <v>96</v>
      </c>
      <c r="F36" s="8" t="s">
        <v>270</v>
      </c>
      <c r="G36" s="8" t="s">
        <v>271</v>
      </c>
      <c r="H36" s="14">
        <v>10</v>
      </c>
      <c r="I36" s="8" t="s">
        <v>272</v>
      </c>
      <c r="J36" s="8" t="s">
        <v>273</v>
      </c>
      <c r="K36" s="8" t="s">
        <v>3</v>
      </c>
      <c r="L36" s="8" t="s">
        <v>85</v>
      </c>
      <c r="M36" s="8" t="s">
        <v>62</v>
      </c>
      <c r="N36" s="8" t="s">
        <v>12</v>
      </c>
      <c r="O36" s="8"/>
      <c r="P36" s="8"/>
      <c r="Q36" s="8"/>
      <c r="R36" s="9"/>
    </row>
    <row r="37" spans="1:18" ht="58.05" customHeight="1">
      <c r="A37" s="7" t="s">
        <v>274</v>
      </c>
      <c r="B37" s="8" t="s">
        <v>19</v>
      </c>
      <c r="C37" s="8" t="s">
        <v>275</v>
      </c>
      <c r="D37" s="8" t="s">
        <v>276</v>
      </c>
      <c r="E37" s="8" t="s">
        <v>96</v>
      </c>
      <c r="F37" s="8" t="s">
        <v>277</v>
      </c>
      <c r="G37" s="8" t="s">
        <v>278</v>
      </c>
      <c r="H37" s="14">
        <v>5</v>
      </c>
      <c r="I37" s="8" t="s">
        <v>279</v>
      </c>
      <c r="J37" s="8" t="s">
        <v>280</v>
      </c>
      <c r="K37" s="8" t="s">
        <v>4</v>
      </c>
      <c r="L37" s="8" t="s">
        <v>281</v>
      </c>
      <c r="M37" s="8" t="s">
        <v>62</v>
      </c>
      <c r="N37" s="8" t="s">
        <v>12</v>
      </c>
      <c r="O37" s="8"/>
      <c r="P37" s="8"/>
      <c r="Q37" s="8"/>
      <c r="R37" s="9"/>
    </row>
    <row r="38" spans="1:18" ht="58.05" customHeight="1">
      <c r="A38" s="7" t="s">
        <v>282</v>
      </c>
      <c r="B38" s="8" t="s">
        <v>22</v>
      </c>
      <c r="C38" s="8" t="s">
        <v>283</v>
      </c>
      <c r="D38" s="8" t="s">
        <v>284</v>
      </c>
      <c r="E38" s="8" t="s">
        <v>96</v>
      </c>
      <c r="F38" s="8" t="s">
        <v>285</v>
      </c>
      <c r="G38" s="8" t="s">
        <v>286</v>
      </c>
      <c r="H38" s="14">
        <v>5</v>
      </c>
      <c r="I38" s="8" t="s">
        <v>287</v>
      </c>
      <c r="J38" s="8" t="s">
        <v>288</v>
      </c>
      <c r="K38" s="8" t="s">
        <v>3</v>
      </c>
      <c r="L38" s="8" t="s">
        <v>289</v>
      </c>
      <c r="M38" s="8" t="s">
        <v>62</v>
      </c>
      <c r="N38" s="8" t="s">
        <v>12</v>
      </c>
      <c r="O38" s="8"/>
      <c r="P38" s="8"/>
      <c r="Q38" s="8"/>
      <c r="R38" s="9"/>
    </row>
    <row r="39" spans="1:18" ht="58.05" customHeight="1">
      <c r="A39" s="7" t="s">
        <v>290</v>
      </c>
      <c r="B39" s="8" t="s">
        <v>22</v>
      </c>
      <c r="C39" s="8" t="s">
        <v>291</v>
      </c>
      <c r="D39" s="8" t="s">
        <v>292</v>
      </c>
      <c r="E39" s="8" t="s">
        <v>96</v>
      </c>
      <c r="F39" s="8" t="s">
        <v>293</v>
      </c>
      <c r="G39" s="8" t="s">
        <v>294</v>
      </c>
      <c r="H39" s="14">
        <v>10</v>
      </c>
      <c r="I39" s="8" t="s">
        <v>295</v>
      </c>
      <c r="J39" s="8" t="s">
        <v>296</v>
      </c>
      <c r="K39" s="8" t="s">
        <v>3</v>
      </c>
      <c r="L39" s="8" t="s">
        <v>138</v>
      </c>
      <c r="M39" s="8" t="s">
        <v>62</v>
      </c>
      <c r="N39" s="8" t="s">
        <v>12</v>
      </c>
      <c r="O39" s="8"/>
      <c r="P39" s="8"/>
      <c r="Q39" s="8"/>
      <c r="R39" s="9"/>
    </row>
    <row r="40" spans="1:18" ht="58.05" customHeight="1">
      <c r="A40" s="7" t="s">
        <v>297</v>
      </c>
      <c r="B40" s="8" t="s">
        <v>22</v>
      </c>
      <c r="C40" s="8" t="s">
        <v>152</v>
      </c>
      <c r="D40" s="8" t="s">
        <v>298</v>
      </c>
      <c r="E40" s="8" t="s">
        <v>96</v>
      </c>
      <c r="F40" s="8" t="s">
        <v>299</v>
      </c>
      <c r="G40" s="8" t="s">
        <v>155</v>
      </c>
      <c r="H40" s="14">
        <v>10</v>
      </c>
      <c r="I40" s="8" t="s">
        <v>300</v>
      </c>
      <c r="J40" s="8" t="s">
        <v>157</v>
      </c>
      <c r="K40" s="8" t="s">
        <v>3</v>
      </c>
      <c r="L40" s="8" t="s">
        <v>158</v>
      </c>
      <c r="M40" s="8" t="s">
        <v>62</v>
      </c>
      <c r="N40" s="8" t="s">
        <v>12</v>
      </c>
      <c r="O40" s="8"/>
      <c r="P40" s="8"/>
      <c r="Q40" s="8"/>
      <c r="R40" s="9"/>
    </row>
    <row r="41" spans="1:18" ht="58.05" customHeight="1">
      <c r="A41" s="7" t="s">
        <v>301</v>
      </c>
      <c r="B41" s="8" t="s">
        <v>22</v>
      </c>
      <c r="C41" s="8" t="s">
        <v>302</v>
      </c>
      <c r="D41" s="8" t="s">
        <v>303</v>
      </c>
      <c r="E41" s="8" t="s">
        <v>304</v>
      </c>
      <c r="F41" s="8" t="s">
        <v>305</v>
      </c>
      <c r="G41" s="8" t="s">
        <v>306</v>
      </c>
      <c r="H41" s="14">
        <v>10</v>
      </c>
      <c r="I41" s="8" t="s">
        <v>307</v>
      </c>
      <c r="J41" s="8" t="s">
        <v>157</v>
      </c>
      <c r="K41" s="8" t="s">
        <v>3</v>
      </c>
      <c r="L41" s="8" t="s">
        <v>195</v>
      </c>
      <c r="M41" s="8" t="s">
        <v>62</v>
      </c>
      <c r="N41" s="8" t="s">
        <v>12</v>
      </c>
      <c r="O41" s="8"/>
      <c r="P41" s="8"/>
      <c r="Q41" s="8"/>
      <c r="R41" s="9"/>
    </row>
    <row r="42" spans="1:18" ht="58.05" customHeight="1">
      <c r="A42" s="7" t="s">
        <v>308</v>
      </c>
      <c r="B42" s="8" t="s">
        <v>22</v>
      </c>
      <c r="C42" s="8" t="s">
        <v>309</v>
      </c>
      <c r="D42" s="8" t="s">
        <v>310</v>
      </c>
      <c r="E42" s="8" t="s">
        <v>96</v>
      </c>
      <c r="F42" s="8" t="s">
        <v>311</v>
      </c>
      <c r="G42" s="8" t="s">
        <v>312</v>
      </c>
      <c r="H42" s="14">
        <v>5</v>
      </c>
      <c r="I42" s="8" t="s">
        <v>313</v>
      </c>
      <c r="J42" s="8" t="s">
        <v>314</v>
      </c>
      <c r="K42" s="8" t="s">
        <v>3</v>
      </c>
      <c r="L42" s="8" t="s">
        <v>281</v>
      </c>
      <c r="M42" s="8" t="s">
        <v>62</v>
      </c>
      <c r="N42" s="8" t="s">
        <v>12</v>
      </c>
      <c r="O42" s="8"/>
      <c r="P42" s="8"/>
      <c r="Q42" s="8"/>
      <c r="R42" s="9"/>
    </row>
    <row r="43" spans="1:18" ht="58.05" customHeight="1">
      <c r="A43" s="7" t="s">
        <v>315</v>
      </c>
      <c r="B43" s="8" t="s">
        <v>22</v>
      </c>
      <c r="C43" s="8" t="s">
        <v>316</v>
      </c>
      <c r="D43" s="8" t="s">
        <v>317</v>
      </c>
      <c r="E43" s="8" t="s">
        <v>96</v>
      </c>
      <c r="F43" s="8" t="s">
        <v>318</v>
      </c>
      <c r="G43" s="8" t="s">
        <v>319</v>
      </c>
      <c r="H43" s="14">
        <v>5</v>
      </c>
      <c r="I43" s="8" t="s">
        <v>320</v>
      </c>
      <c r="J43" s="8" t="s">
        <v>321</v>
      </c>
      <c r="K43" s="8" t="s">
        <v>3</v>
      </c>
      <c r="L43" s="8" t="s">
        <v>281</v>
      </c>
      <c r="M43" s="8" t="s">
        <v>62</v>
      </c>
      <c r="N43" s="8" t="s">
        <v>12</v>
      </c>
      <c r="O43" s="8"/>
      <c r="P43" s="8"/>
      <c r="Q43" s="8"/>
      <c r="R43" s="9"/>
    </row>
    <row r="44" spans="1:18" ht="58.05" customHeight="1">
      <c r="A44" s="7" t="s">
        <v>322</v>
      </c>
      <c r="B44" s="8" t="s">
        <v>22</v>
      </c>
      <c r="C44" s="8" t="s">
        <v>323</v>
      </c>
      <c r="D44" s="8" t="s">
        <v>324</v>
      </c>
      <c r="E44" s="8" t="s">
        <v>96</v>
      </c>
      <c r="F44" s="8" t="s">
        <v>325</v>
      </c>
      <c r="G44" s="8" t="s">
        <v>326</v>
      </c>
      <c r="H44" s="14">
        <v>5</v>
      </c>
      <c r="I44" s="8" t="s">
        <v>327</v>
      </c>
      <c r="J44" s="8" t="s">
        <v>328</v>
      </c>
      <c r="K44" s="8" t="s">
        <v>4</v>
      </c>
      <c r="L44" s="8" t="s">
        <v>281</v>
      </c>
      <c r="M44" s="8" t="s">
        <v>62</v>
      </c>
      <c r="N44" s="8" t="s">
        <v>12</v>
      </c>
      <c r="O44" s="8"/>
      <c r="P44" s="8"/>
      <c r="Q44" s="8"/>
      <c r="R44" s="9"/>
    </row>
    <row r="45" spans="1:18" ht="58.05" customHeight="1">
      <c r="A45" s="7" t="s">
        <v>329</v>
      </c>
      <c r="B45" s="8" t="s">
        <v>22</v>
      </c>
      <c r="C45" s="8" t="s">
        <v>330</v>
      </c>
      <c r="D45" s="8" t="s">
        <v>331</v>
      </c>
      <c r="E45" s="8" t="s">
        <v>96</v>
      </c>
      <c r="F45" s="8" t="s">
        <v>332</v>
      </c>
      <c r="G45" s="8" t="s">
        <v>333</v>
      </c>
      <c r="H45" s="14">
        <v>5</v>
      </c>
      <c r="I45" s="8" t="s">
        <v>334</v>
      </c>
      <c r="J45" s="8" t="s">
        <v>335</v>
      </c>
      <c r="K45" s="8" t="s">
        <v>3</v>
      </c>
      <c r="L45" s="8" t="s">
        <v>336</v>
      </c>
      <c r="M45" s="8" t="s">
        <v>62</v>
      </c>
      <c r="N45" s="8" t="s">
        <v>12</v>
      </c>
      <c r="O45" s="8"/>
      <c r="P45" s="8"/>
      <c r="Q45" s="8"/>
      <c r="R45" s="9"/>
    </row>
    <row r="46" spans="1:18" ht="58.05" customHeight="1">
      <c r="A46" s="7" t="s">
        <v>337</v>
      </c>
      <c r="B46" s="8" t="s">
        <v>22</v>
      </c>
      <c r="C46" s="8" t="s">
        <v>338</v>
      </c>
      <c r="D46" s="8" t="s">
        <v>339</v>
      </c>
      <c r="E46" s="8" t="s">
        <v>96</v>
      </c>
      <c r="F46" s="8" t="s">
        <v>340</v>
      </c>
      <c r="G46" s="8" t="s">
        <v>341</v>
      </c>
      <c r="H46" s="14">
        <v>10</v>
      </c>
      <c r="I46" s="8" t="s">
        <v>342</v>
      </c>
      <c r="J46" s="8" t="s">
        <v>343</v>
      </c>
      <c r="K46" s="8" t="s">
        <v>3</v>
      </c>
      <c r="L46" s="8" t="s">
        <v>85</v>
      </c>
      <c r="M46" s="8" t="s">
        <v>62</v>
      </c>
      <c r="N46" s="8" t="s">
        <v>12</v>
      </c>
      <c r="O46" s="8"/>
      <c r="P46" s="8"/>
      <c r="Q46" s="8"/>
      <c r="R46" s="9"/>
    </row>
    <row r="47" spans="1:18" ht="58.05" customHeight="1">
      <c r="A47" s="7" t="s">
        <v>344</v>
      </c>
      <c r="B47" s="8" t="s">
        <v>22</v>
      </c>
      <c r="C47" s="8" t="s">
        <v>345</v>
      </c>
      <c r="D47" s="8" t="s">
        <v>346</v>
      </c>
      <c r="E47" s="8" t="s">
        <v>96</v>
      </c>
      <c r="F47" s="8" t="s">
        <v>347</v>
      </c>
      <c r="G47" s="8" t="s">
        <v>348</v>
      </c>
      <c r="H47" s="14">
        <v>5</v>
      </c>
      <c r="I47" s="8" t="s">
        <v>349</v>
      </c>
      <c r="J47" s="8" t="s">
        <v>261</v>
      </c>
      <c r="K47" s="8" t="s">
        <v>3</v>
      </c>
      <c r="L47" s="8" t="s">
        <v>85</v>
      </c>
      <c r="M47" s="8" t="s">
        <v>62</v>
      </c>
      <c r="N47" s="8" t="s">
        <v>12</v>
      </c>
      <c r="O47" s="8"/>
      <c r="P47" s="8"/>
      <c r="Q47" s="8"/>
      <c r="R47" s="9"/>
    </row>
    <row r="48" spans="1:18" ht="58.05" customHeight="1">
      <c r="A48" s="7" t="s">
        <v>350</v>
      </c>
      <c r="B48" s="8" t="s">
        <v>25</v>
      </c>
      <c r="C48" s="8" t="s">
        <v>351</v>
      </c>
      <c r="D48" s="8" t="s">
        <v>352</v>
      </c>
      <c r="E48" s="8" t="s">
        <v>96</v>
      </c>
      <c r="F48" s="8" t="s">
        <v>353</v>
      </c>
      <c r="G48" s="8" t="s">
        <v>354</v>
      </c>
      <c r="H48" s="14">
        <v>1</v>
      </c>
      <c r="I48" s="8" t="s">
        <v>355</v>
      </c>
      <c r="J48" s="8" t="s">
        <v>356</v>
      </c>
      <c r="K48" s="8" t="s">
        <v>3</v>
      </c>
      <c r="L48" s="8" t="s">
        <v>357</v>
      </c>
      <c r="M48" s="8" t="s">
        <v>62</v>
      </c>
      <c r="N48" s="8" t="s">
        <v>12</v>
      </c>
      <c r="O48" s="8"/>
      <c r="P48" s="8"/>
      <c r="Q48" s="8"/>
      <c r="R48" s="9"/>
    </row>
    <row r="49" spans="1:18" ht="58.05" customHeight="1">
      <c r="A49" s="7" t="s">
        <v>358</v>
      </c>
      <c r="B49" s="8" t="s">
        <v>25</v>
      </c>
      <c r="C49" s="8" t="s">
        <v>351</v>
      </c>
      <c r="D49" s="8" t="s">
        <v>359</v>
      </c>
      <c r="E49" s="8" t="s">
        <v>96</v>
      </c>
      <c r="F49" s="8" t="s">
        <v>360</v>
      </c>
      <c r="G49" s="8" t="s">
        <v>361</v>
      </c>
      <c r="H49" s="14">
        <v>1</v>
      </c>
      <c r="I49" s="8" t="s">
        <v>362</v>
      </c>
      <c r="J49" s="8" t="s">
        <v>363</v>
      </c>
      <c r="K49" s="8" t="s">
        <v>3</v>
      </c>
      <c r="L49" s="8" t="s">
        <v>357</v>
      </c>
      <c r="M49" s="8" t="s">
        <v>62</v>
      </c>
      <c r="N49" s="8" t="s">
        <v>12</v>
      </c>
      <c r="O49" s="8"/>
      <c r="P49" s="8"/>
      <c r="Q49" s="8"/>
      <c r="R49" s="9"/>
    </row>
    <row r="50" spans="1:18" ht="58.05" customHeight="1">
      <c r="A50" s="7" t="s">
        <v>364</v>
      </c>
      <c r="B50" s="8" t="s">
        <v>25</v>
      </c>
      <c r="C50" s="8" t="s">
        <v>365</v>
      </c>
      <c r="D50" s="8" t="s">
        <v>366</v>
      </c>
      <c r="E50" s="8" t="s">
        <v>96</v>
      </c>
      <c r="F50" s="8" t="s">
        <v>367</v>
      </c>
      <c r="G50" s="8" t="s">
        <v>368</v>
      </c>
      <c r="H50" s="14">
        <v>3</v>
      </c>
      <c r="I50" s="8" t="s">
        <v>369</v>
      </c>
      <c r="J50" s="8" t="s">
        <v>370</v>
      </c>
      <c r="K50" s="8" t="s">
        <v>3</v>
      </c>
      <c r="L50" s="8" t="s">
        <v>71</v>
      </c>
      <c r="M50" s="8" t="s">
        <v>62</v>
      </c>
      <c r="N50" s="8" t="s">
        <v>12</v>
      </c>
      <c r="O50" s="8"/>
      <c r="P50" s="8"/>
      <c r="Q50" s="8"/>
      <c r="R50" s="9"/>
    </row>
    <row r="51" spans="1:18" ht="58.05" customHeight="1">
      <c r="A51" s="7" t="s">
        <v>371</v>
      </c>
      <c r="B51" s="8" t="s">
        <v>25</v>
      </c>
      <c r="C51" s="8" t="s">
        <v>365</v>
      </c>
      <c r="D51" s="8" t="s">
        <v>372</v>
      </c>
      <c r="E51" s="8" t="s">
        <v>96</v>
      </c>
      <c r="F51" s="8" t="s">
        <v>373</v>
      </c>
      <c r="G51" s="8" t="s">
        <v>374</v>
      </c>
      <c r="H51" s="14">
        <v>3</v>
      </c>
      <c r="I51" s="8" t="s">
        <v>375</v>
      </c>
      <c r="J51" s="8" t="s">
        <v>84</v>
      </c>
      <c r="K51" s="8" t="s">
        <v>3</v>
      </c>
      <c r="L51" s="8" t="s">
        <v>85</v>
      </c>
      <c r="M51" s="8" t="s">
        <v>62</v>
      </c>
      <c r="N51" s="8" t="s">
        <v>12</v>
      </c>
      <c r="O51" s="8"/>
      <c r="P51" s="8"/>
      <c r="Q51" s="8"/>
      <c r="R51" s="9"/>
    </row>
    <row r="52" spans="1:18" ht="58.05" customHeight="1">
      <c r="A52" s="7" t="s">
        <v>376</v>
      </c>
      <c r="B52" s="8" t="s">
        <v>25</v>
      </c>
      <c r="C52" s="8" t="s">
        <v>377</v>
      </c>
      <c r="D52" s="8" t="s">
        <v>378</v>
      </c>
      <c r="E52" s="8" t="s">
        <v>379</v>
      </c>
      <c r="F52" s="8" t="s">
        <v>380</v>
      </c>
      <c r="G52" s="8" t="s">
        <v>381</v>
      </c>
      <c r="H52" s="14">
        <v>10</v>
      </c>
      <c r="I52" s="8" t="s">
        <v>382</v>
      </c>
      <c r="J52" s="8" t="s">
        <v>157</v>
      </c>
      <c r="K52" s="8" t="s">
        <v>3</v>
      </c>
      <c r="L52" s="8" t="s">
        <v>383</v>
      </c>
      <c r="M52" s="8" t="s">
        <v>62</v>
      </c>
      <c r="N52" s="8" t="s">
        <v>12</v>
      </c>
      <c r="O52" s="8"/>
      <c r="P52" s="8"/>
      <c r="Q52" s="8"/>
      <c r="R52" s="9"/>
    </row>
    <row r="53" spans="1:18" ht="58.05" customHeight="1">
      <c r="A53" s="7" t="s">
        <v>384</v>
      </c>
      <c r="B53" s="8" t="s">
        <v>25</v>
      </c>
      <c r="C53" s="8" t="s">
        <v>385</v>
      </c>
      <c r="D53" s="8" t="s">
        <v>386</v>
      </c>
      <c r="E53" s="8" t="s">
        <v>387</v>
      </c>
      <c r="F53" s="8" t="s">
        <v>388</v>
      </c>
      <c r="G53" s="8" t="s">
        <v>389</v>
      </c>
      <c r="H53" s="14">
        <v>5</v>
      </c>
      <c r="I53" s="8" t="s">
        <v>390</v>
      </c>
      <c r="J53" s="8" t="s">
        <v>216</v>
      </c>
      <c r="K53" s="8" t="s">
        <v>3</v>
      </c>
      <c r="L53" s="8" t="s">
        <v>391</v>
      </c>
      <c r="M53" s="8" t="s">
        <v>62</v>
      </c>
      <c r="N53" s="8" t="s">
        <v>12</v>
      </c>
      <c r="O53" s="8"/>
      <c r="P53" s="8"/>
      <c r="Q53" s="8"/>
      <c r="R53" s="9"/>
    </row>
    <row r="54" spans="1:18" ht="58.05" customHeight="1">
      <c r="A54" s="7" t="s">
        <v>392</v>
      </c>
      <c r="B54" s="8" t="s">
        <v>25</v>
      </c>
      <c r="C54" s="8" t="s">
        <v>385</v>
      </c>
      <c r="D54" s="8" t="s">
        <v>393</v>
      </c>
      <c r="E54" s="8" t="s">
        <v>394</v>
      </c>
      <c r="F54" s="8" t="s">
        <v>395</v>
      </c>
      <c r="G54" s="8" t="s">
        <v>389</v>
      </c>
      <c r="H54" s="14">
        <v>5</v>
      </c>
      <c r="I54" s="8" t="s">
        <v>396</v>
      </c>
      <c r="J54" s="8" t="s">
        <v>216</v>
      </c>
      <c r="K54" s="8" t="s">
        <v>3</v>
      </c>
      <c r="L54" s="8" t="s">
        <v>391</v>
      </c>
      <c r="M54" s="8" t="s">
        <v>62</v>
      </c>
      <c r="N54" s="8" t="s">
        <v>12</v>
      </c>
      <c r="O54" s="8"/>
      <c r="P54" s="8"/>
      <c r="Q54" s="8"/>
      <c r="R54" s="9"/>
    </row>
    <row r="55" spans="1:18" ht="58.05" customHeight="1">
      <c r="A55" s="7" t="s">
        <v>397</v>
      </c>
      <c r="B55" s="8" t="s">
        <v>25</v>
      </c>
      <c r="C55" s="8" t="s">
        <v>398</v>
      </c>
      <c r="D55" s="8" t="s">
        <v>399</v>
      </c>
      <c r="E55" s="8" t="s">
        <v>394</v>
      </c>
      <c r="F55" s="8" t="s">
        <v>400</v>
      </c>
      <c r="G55" s="8" t="s">
        <v>401</v>
      </c>
      <c r="H55" s="14">
        <v>5</v>
      </c>
      <c r="I55" s="8" t="s">
        <v>402</v>
      </c>
      <c r="J55" s="8" t="s">
        <v>403</v>
      </c>
      <c r="K55" s="8" t="s">
        <v>3</v>
      </c>
      <c r="L55" s="8" t="s">
        <v>85</v>
      </c>
      <c r="M55" s="8" t="s">
        <v>62</v>
      </c>
      <c r="N55" s="8" t="s">
        <v>12</v>
      </c>
      <c r="O55" s="8"/>
      <c r="P55" s="8"/>
      <c r="Q55" s="8"/>
      <c r="R55" s="9"/>
    </row>
    <row r="56" spans="1:18" ht="58.05" customHeight="1">
      <c r="A56" s="7" t="s">
        <v>404</v>
      </c>
      <c r="B56" s="8" t="s">
        <v>25</v>
      </c>
      <c r="C56" s="8" t="s">
        <v>405</v>
      </c>
      <c r="D56" s="8" t="s">
        <v>406</v>
      </c>
      <c r="E56" s="8" t="s">
        <v>407</v>
      </c>
      <c r="F56" s="8" t="s">
        <v>408</v>
      </c>
      <c r="G56" s="8" t="s">
        <v>409</v>
      </c>
      <c r="H56" s="14">
        <v>5</v>
      </c>
      <c r="I56" s="8" t="s">
        <v>410</v>
      </c>
      <c r="J56" s="8" t="s">
        <v>261</v>
      </c>
      <c r="K56" s="8" t="s">
        <v>3</v>
      </c>
      <c r="L56" s="8" t="s">
        <v>71</v>
      </c>
      <c r="M56" s="8" t="s">
        <v>62</v>
      </c>
      <c r="N56" s="8" t="s">
        <v>12</v>
      </c>
      <c r="O56" s="8"/>
      <c r="P56" s="8"/>
      <c r="Q56" s="8"/>
      <c r="R56" s="9"/>
    </row>
    <row r="57" spans="1:18" ht="58.05" customHeight="1">
      <c r="A57" s="7" t="s">
        <v>411</v>
      </c>
      <c r="B57" s="8" t="s">
        <v>25</v>
      </c>
      <c r="C57" s="8" t="s">
        <v>412</v>
      </c>
      <c r="D57" s="8" t="s">
        <v>413</v>
      </c>
      <c r="E57" s="8" t="s">
        <v>414</v>
      </c>
      <c r="F57" s="8" t="s">
        <v>415</v>
      </c>
      <c r="G57" s="8" t="s">
        <v>416</v>
      </c>
      <c r="H57" s="14">
        <v>10</v>
      </c>
      <c r="I57" s="8" t="s">
        <v>417</v>
      </c>
      <c r="J57" s="8" t="s">
        <v>418</v>
      </c>
      <c r="K57" s="8" t="s">
        <v>3</v>
      </c>
      <c r="L57" s="8" t="s">
        <v>85</v>
      </c>
      <c r="M57" s="8" t="s">
        <v>62</v>
      </c>
      <c r="N57" s="8" t="s">
        <v>12</v>
      </c>
      <c r="O57" s="8"/>
      <c r="P57" s="8"/>
      <c r="Q57" s="8"/>
      <c r="R57" s="9"/>
    </row>
    <row r="58" spans="1:18" ht="58.05" customHeight="1">
      <c r="A58" s="7" t="s">
        <v>419</v>
      </c>
      <c r="B58" s="8" t="s">
        <v>25</v>
      </c>
      <c r="C58" s="8" t="s">
        <v>420</v>
      </c>
      <c r="D58" s="8" t="s">
        <v>421</v>
      </c>
      <c r="E58" s="8" t="s">
        <v>422</v>
      </c>
      <c r="F58" s="8" t="s">
        <v>423</v>
      </c>
      <c r="G58" s="8" t="s">
        <v>424</v>
      </c>
      <c r="H58" s="14">
        <v>5</v>
      </c>
      <c r="I58" s="8" t="s">
        <v>425</v>
      </c>
      <c r="J58" s="8" t="s">
        <v>426</v>
      </c>
      <c r="K58" s="8" t="s">
        <v>3</v>
      </c>
      <c r="L58" s="8" t="s">
        <v>427</v>
      </c>
      <c r="M58" s="8" t="s">
        <v>62</v>
      </c>
      <c r="N58" s="8" t="s">
        <v>12</v>
      </c>
      <c r="O58" s="8"/>
      <c r="P58" s="8"/>
      <c r="Q58" s="8"/>
      <c r="R58" s="9"/>
    </row>
    <row r="59" spans="1:18" ht="58.05" customHeight="1">
      <c r="A59" s="7" t="s">
        <v>428</v>
      </c>
      <c r="B59" s="8" t="s">
        <v>25</v>
      </c>
      <c r="C59" s="8" t="s">
        <v>429</v>
      </c>
      <c r="D59" s="8" t="s">
        <v>430</v>
      </c>
      <c r="E59" s="8" t="s">
        <v>431</v>
      </c>
      <c r="F59" s="8" t="s">
        <v>432</v>
      </c>
      <c r="G59" s="8" t="s">
        <v>433</v>
      </c>
      <c r="H59" s="14">
        <v>5</v>
      </c>
      <c r="I59" s="8" t="s">
        <v>434</v>
      </c>
      <c r="J59" s="8" t="s">
        <v>426</v>
      </c>
      <c r="K59" s="8" t="s">
        <v>3</v>
      </c>
      <c r="L59" s="8" t="s">
        <v>427</v>
      </c>
      <c r="M59" s="8" t="s">
        <v>62</v>
      </c>
      <c r="N59" s="8" t="s">
        <v>12</v>
      </c>
      <c r="O59" s="8"/>
      <c r="P59" s="8"/>
      <c r="Q59" s="8"/>
      <c r="R59" s="9"/>
    </row>
    <row r="60" spans="1:18" ht="58.05" customHeight="1">
      <c r="A60" s="7" t="s">
        <v>435</v>
      </c>
      <c r="B60" s="8" t="s">
        <v>25</v>
      </c>
      <c r="C60" s="8" t="s">
        <v>436</v>
      </c>
      <c r="D60" s="8" t="s">
        <v>437</v>
      </c>
      <c r="E60" s="8" t="s">
        <v>438</v>
      </c>
      <c r="F60" s="8" t="s">
        <v>439</v>
      </c>
      <c r="G60" s="8" t="s">
        <v>440</v>
      </c>
      <c r="H60" s="14">
        <v>5</v>
      </c>
      <c r="I60" s="8" t="s">
        <v>441</v>
      </c>
      <c r="J60" s="8" t="s">
        <v>261</v>
      </c>
      <c r="K60" s="8" t="s">
        <v>3</v>
      </c>
      <c r="L60" s="8" t="s">
        <v>442</v>
      </c>
      <c r="M60" s="8" t="s">
        <v>62</v>
      </c>
      <c r="N60" s="8" t="s">
        <v>12</v>
      </c>
      <c r="O60" s="8"/>
      <c r="P60" s="8"/>
      <c r="Q60" s="8"/>
      <c r="R60" s="9"/>
    </row>
    <row r="61" spans="1:18" ht="58.05" customHeight="1">
      <c r="A61" s="7" t="s">
        <v>443</v>
      </c>
      <c r="B61" s="8" t="s">
        <v>25</v>
      </c>
      <c r="C61" s="8" t="s">
        <v>444</v>
      </c>
      <c r="D61" s="8" t="s">
        <v>445</v>
      </c>
      <c r="E61" s="8" t="s">
        <v>446</v>
      </c>
      <c r="F61" s="8" t="s">
        <v>447</v>
      </c>
      <c r="G61" s="8" t="s">
        <v>448</v>
      </c>
      <c r="H61" s="14">
        <v>5</v>
      </c>
      <c r="I61" s="8" t="s">
        <v>449</v>
      </c>
      <c r="J61" s="8" t="s">
        <v>261</v>
      </c>
      <c r="K61" s="8" t="s">
        <v>3</v>
      </c>
      <c r="L61" s="8" t="s">
        <v>289</v>
      </c>
      <c r="M61" s="8" t="s">
        <v>62</v>
      </c>
      <c r="N61" s="8" t="s">
        <v>12</v>
      </c>
      <c r="O61" s="8"/>
      <c r="P61" s="8"/>
      <c r="Q61" s="8"/>
      <c r="R61" s="9"/>
    </row>
    <row r="62" spans="1:18" ht="58.05" customHeight="1">
      <c r="A62" s="7" t="s">
        <v>450</v>
      </c>
      <c r="B62" s="8" t="s">
        <v>25</v>
      </c>
      <c r="C62" s="8" t="s">
        <v>444</v>
      </c>
      <c r="D62" s="8" t="s">
        <v>451</v>
      </c>
      <c r="E62" s="8" t="s">
        <v>452</v>
      </c>
      <c r="F62" s="8" t="s">
        <v>453</v>
      </c>
      <c r="G62" s="8" t="s">
        <v>454</v>
      </c>
      <c r="H62" s="14">
        <v>5</v>
      </c>
      <c r="I62" s="8" t="s">
        <v>455</v>
      </c>
      <c r="J62" s="8" t="s">
        <v>261</v>
      </c>
      <c r="K62" s="8" t="s">
        <v>3</v>
      </c>
      <c r="L62" s="8" t="s">
        <v>71</v>
      </c>
      <c r="M62" s="8" t="s">
        <v>62</v>
      </c>
      <c r="N62" s="8" t="s">
        <v>12</v>
      </c>
      <c r="O62" s="8"/>
      <c r="P62" s="8"/>
      <c r="Q62" s="8"/>
      <c r="R62" s="9"/>
    </row>
    <row r="63" spans="1:18" ht="58.05" customHeight="1">
      <c r="A63" s="7" t="s">
        <v>456</v>
      </c>
      <c r="B63" s="8" t="s">
        <v>25</v>
      </c>
      <c r="C63" s="8" t="s">
        <v>444</v>
      </c>
      <c r="D63" s="8" t="s">
        <v>457</v>
      </c>
      <c r="E63" s="8" t="s">
        <v>458</v>
      </c>
      <c r="F63" s="8" t="s">
        <v>459</v>
      </c>
      <c r="G63" s="8" t="s">
        <v>460</v>
      </c>
      <c r="H63" s="14">
        <v>5</v>
      </c>
      <c r="I63" s="8" t="s">
        <v>461</v>
      </c>
      <c r="J63" s="8" t="s">
        <v>261</v>
      </c>
      <c r="K63" s="8" t="s">
        <v>3</v>
      </c>
      <c r="L63" s="8" t="s">
        <v>85</v>
      </c>
      <c r="M63" s="8" t="s">
        <v>62</v>
      </c>
      <c r="N63" s="8" t="s">
        <v>12</v>
      </c>
      <c r="O63" s="8"/>
      <c r="P63" s="8"/>
      <c r="Q63" s="8"/>
      <c r="R63" s="9"/>
    </row>
    <row r="64" spans="1:18" ht="58.05" customHeight="1">
      <c r="A64" s="7" t="s">
        <v>462</v>
      </c>
      <c r="B64" s="8" t="s">
        <v>25</v>
      </c>
      <c r="C64" s="8" t="s">
        <v>463</v>
      </c>
      <c r="D64" s="8" t="s">
        <v>464</v>
      </c>
      <c r="E64" s="8" t="s">
        <v>96</v>
      </c>
      <c r="F64" s="8" t="s">
        <v>465</v>
      </c>
      <c r="G64" s="8" t="s">
        <v>466</v>
      </c>
      <c r="H64" s="14">
        <v>3</v>
      </c>
      <c r="I64" s="8" t="s">
        <v>467</v>
      </c>
      <c r="J64" s="8" t="s">
        <v>468</v>
      </c>
      <c r="K64" s="8" t="s">
        <v>4</v>
      </c>
      <c r="L64" s="8" t="s">
        <v>469</v>
      </c>
      <c r="M64" s="8" t="s">
        <v>62</v>
      </c>
      <c r="N64" s="8" t="s">
        <v>12</v>
      </c>
      <c r="O64" s="8"/>
      <c r="P64" s="8"/>
      <c r="Q64" s="8"/>
      <c r="R64" s="9"/>
    </row>
    <row r="65" spans="1:18" ht="58.05" customHeight="1">
      <c r="A65" s="7" t="s">
        <v>470</v>
      </c>
      <c r="B65" s="8" t="s">
        <v>27</v>
      </c>
      <c r="C65" s="8" t="s">
        <v>471</v>
      </c>
      <c r="D65" s="8" t="s">
        <v>472</v>
      </c>
      <c r="E65" s="8" t="s">
        <v>96</v>
      </c>
      <c r="F65" s="8" t="s">
        <v>473</v>
      </c>
      <c r="G65" s="8" t="s">
        <v>474</v>
      </c>
      <c r="H65" s="14">
        <v>3</v>
      </c>
      <c r="I65" s="8" t="s">
        <v>475</v>
      </c>
      <c r="J65" s="8" t="s">
        <v>476</v>
      </c>
      <c r="K65" s="8" t="s">
        <v>4</v>
      </c>
      <c r="L65" s="8" t="s">
        <v>115</v>
      </c>
      <c r="M65" s="8" t="s">
        <v>62</v>
      </c>
      <c r="N65" s="8" t="s">
        <v>12</v>
      </c>
      <c r="O65" s="8"/>
      <c r="P65" s="8"/>
      <c r="Q65" s="8"/>
      <c r="R65" s="9"/>
    </row>
    <row r="66" spans="1:18" ht="58.05" customHeight="1">
      <c r="A66" s="7" t="s">
        <v>477</v>
      </c>
      <c r="B66" s="8" t="s">
        <v>27</v>
      </c>
      <c r="C66" s="8" t="s">
        <v>471</v>
      </c>
      <c r="D66" s="8" t="s">
        <v>478</v>
      </c>
      <c r="E66" s="8" t="s">
        <v>96</v>
      </c>
      <c r="F66" s="8" t="s">
        <v>479</v>
      </c>
      <c r="G66" s="8" t="s">
        <v>480</v>
      </c>
      <c r="H66" s="14">
        <v>3</v>
      </c>
      <c r="I66" s="8" t="s">
        <v>481</v>
      </c>
      <c r="J66" s="8" t="s">
        <v>476</v>
      </c>
      <c r="K66" s="8" t="s">
        <v>4</v>
      </c>
      <c r="L66" s="8" t="s">
        <v>115</v>
      </c>
      <c r="M66" s="8" t="s">
        <v>62</v>
      </c>
      <c r="N66" s="8" t="s">
        <v>12</v>
      </c>
      <c r="O66" s="8"/>
      <c r="P66" s="8"/>
      <c r="Q66" s="8"/>
      <c r="R66" s="9"/>
    </row>
    <row r="67" spans="1:18" ht="58.05" customHeight="1">
      <c r="A67" s="7" t="s">
        <v>482</v>
      </c>
      <c r="B67" s="8" t="s">
        <v>27</v>
      </c>
      <c r="C67" s="8" t="s">
        <v>471</v>
      </c>
      <c r="D67" s="8" t="s">
        <v>483</v>
      </c>
      <c r="E67" s="8" t="s">
        <v>484</v>
      </c>
      <c r="F67" s="8" t="s">
        <v>485</v>
      </c>
      <c r="G67" s="8" t="s">
        <v>442</v>
      </c>
      <c r="H67" s="14">
        <v>5</v>
      </c>
      <c r="I67" s="8" t="s">
        <v>486</v>
      </c>
      <c r="J67" s="8" t="s">
        <v>261</v>
      </c>
      <c r="K67" s="8" t="s">
        <v>3</v>
      </c>
      <c r="L67" s="8" t="s">
        <v>442</v>
      </c>
      <c r="M67" s="8" t="s">
        <v>62</v>
      </c>
      <c r="N67" s="8" t="s">
        <v>12</v>
      </c>
      <c r="O67" s="8"/>
      <c r="P67" s="8"/>
      <c r="Q67" s="8"/>
      <c r="R67" s="9"/>
    </row>
    <row r="68" spans="1:18" ht="58.05" customHeight="1">
      <c r="A68" s="7" t="s">
        <v>487</v>
      </c>
      <c r="B68" s="8" t="s">
        <v>27</v>
      </c>
      <c r="C68" s="8" t="s">
        <v>488</v>
      </c>
      <c r="D68" s="8" t="s">
        <v>489</v>
      </c>
      <c r="E68" s="8" t="s">
        <v>490</v>
      </c>
      <c r="F68" s="8" t="s">
        <v>491</v>
      </c>
      <c r="G68" s="8" t="s">
        <v>492</v>
      </c>
      <c r="H68" s="14">
        <v>3</v>
      </c>
      <c r="I68" s="8" t="s">
        <v>493</v>
      </c>
      <c r="J68" s="8" t="s">
        <v>476</v>
      </c>
      <c r="K68" s="8" t="s">
        <v>4</v>
      </c>
      <c r="L68" s="8" t="s">
        <v>115</v>
      </c>
      <c r="M68" s="8" t="s">
        <v>62</v>
      </c>
      <c r="N68" s="8" t="s">
        <v>12</v>
      </c>
      <c r="O68" s="8"/>
      <c r="P68" s="8"/>
      <c r="Q68" s="8"/>
      <c r="R68" s="9"/>
    </row>
    <row r="69" spans="1:18" ht="58.05" customHeight="1">
      <c r="A69" s="7" t="s">
        <v>494</v>
      </c>
      <c r="B69" s="8" t="s">
        <v>27</v>
      </c>
      <c r="C69" s="8" t="s">
        <v>495</v>
      </c>
      <c r="D69" s="8" t="s">
        <v>496</v>
      </c>
      <c r="E69" s="8" t="s">
        <v>96</v>
      </c>
      <c r="F69" s="8" t="s">
        <v>497</v>
      </c>
      <c r="G69" s="8" t="s">
        <v>498</v>
      </c>
      <c r="H69" s="14">
        <v>3</v>
      </c>
      <c r="I69" s="8" t="s">
        <v>499</v>
      </c>
      <c r="J69" s="8" t="s">
        <v>476</v>
      </c>
      <c r="K69" s="8" t="s">
        <v>500</v>
      </c>
      <c r="L69" s="8" t="s">
        <v>123</v>
      </c>
      <c r="M69" s="8" t="s">
        <v>62</v>
      </c>
      <c r="N69" s="8" t="s">
        <v>12</v>
      </c>
      <c r="O69" s="8"/>
      <c r="P69" s="8"/>
      <c r="Q69" s="8"/>
      <c r="R69" s="9"/>
    </row>
    <row r="70" spans="1:18" ht="58.05" customHeight="1">
      <c r="A70" s="7" t="s">
        <v>501</v>
      </c>
      <c r="B70" s="8" t="s">
        <v>27</v>
      </c>
      <c r="C70" s="8" t="s">
        <v>502</v>
      </c>
      <c r="D70" s="8" t="s">
        <v>503</v>
      </c>
      <c r="E70" s="8" t="s">
        <v>96</v>
      </c>
      <c r="F70" s="8" t="s">
        <v>504</v>
      </c>
      <c r="G70" s="8" t="s">
        <v>505</v>
      </c>
      <c r="H70" s="14">
        <v>3</v>
      </c>
      <c r="I70" s="8" t="s">
        <v>506</v>
      </c>
      <c r="J70" s="8" t="s">
        <v>507</v>
      </c>
      <c r="K70" s="8" t="s">
        <v>500</v>
      </c>
      <c r="L70" s="8" t="s">
        <v>508</v>
      </c>
      <c r="M70" s="8" t="s">
        <v>62</v>
      </c>
      <c r="N70" s="8" t="s">
        <v>12</v>
      </c>
      <c r="O70" s="8"/>
      <c r="P70" s="8"/>
      <c r="Q70" s="8"/>
      <c r="R70" s="9"/>
    </row>
    <row r="71" spans="1:18" ht="58.05" customHeight="1">
      <c r="A71" s="7" t="s">
        <v>509</v>
      </c>
      <c r="B71" s="8" t="s">
        <v>27</v>
      </c>
      <c r="C71" s="8" t="s">
        <v>510</v>
      </c>
      <c r="D71" s="8" t="s">
        <v>511</v>
      </c>
      <c r="E71" s="8" t="s">
        <v>54</v>
      </c>
      <c r="F71" s="8" t="s">
        <v>512</v>
      </c>
      <c r="G71" s="8" t="s">
        <v>513</v>
      </c>
      <c r="H71" s="14">
        <v>3</v>
      </c>
      <c r="I71" s="8" t="s">
        <v>514</v>
      </c>
      <c r="J71" s="8" t="s">
        <v>476</v>
      </c>
      <c r="K71" s="8" t="s">
        <v>500</v>
      </c>
      <c r="L71" s="8" t="s">
        <v>115</v>
      </c>
      <c r="M71" s="8" t="s">
        <v>62</v>
      </c>
      <c r="N71" s="8" t="s">
        <v>12</v>
      </c>
      <c r="O71" s="8"/>
      <c r="P71" s="8"/>
      <c r="Q71" s="8"/>
      <c r="R71" s="9"/>
    </row>
    <row r="72" spans="1:18" ht="58.05" customHeight="1">
      <c r="A72" s="7" t="s">
        <v>515</v>
      </c>
      <c r="B72" s="8" t="s">
        <v>30</v>
      </c>
      <c r="C72" s="8" t="s">
        <v>516</v>
      </c>
      <c r="D72" s="8" t="s">
        <v>517</v>
      </c>
      <c r="E72" s="8" t="s">
        <v>518</v>
      </c>
      <c r="F72" s="8" t="s">
        <v>519</v>
      </c>
      <c r="G72" s="8" t="s">
        <v>520</v>
      </c>
      <c r="H72" s="14">
        <v>30</v>
      </c>
      <c r="I72" s="8" t="s">
        <v>521</v>
      </c>
      <c r="J72" s="8" t="s">
        <v>522</v>
      </c>
      <c r="K72" s="8" t="s">
        <v>3</v>
      </c>
      <c r="L72" s="8" t="s">
        <v>523</v>
      </c>
      <c r="M72" s="8" t="s">
        <v>62</v>
      </c>
      <c r="N72" s="8" t="s">
        <v>12</v>
      </c>
      <c r="O72" s="8"/>
      <c r="P72" s="8"/>
      <c r="Q72" s="8"/>
      <c r="R72" s="9"/>
    </row>
    <row r="73" spans="1:18" ht="58.05" customHeight="1">
      <c r="A73" s="7" t="s">
        <v>524</v>
      </c>
      <c r="B73" s="8" t="s">
        <v>30</v>
      </c>
      <c r="C73" s="8" t="s">
        <v>525</v>
      </c>
      <c r="D73" s="8" t="s">
        <v>526</v>
      </c>
      <c r="E73" s="8" t="s">
        <v>518</v>
      </c>
      <c r="F73" s="8" t="s">
        <v>527</v>
      </c>
      <c r="G73" s="8" t="s">
        <v>528</v>
      </c>
      <c r="H73" s="14">
        <v>30</v>
      </c>
      <c r="I73" s="8" t="s">
        <v>529</v>
      </c>
      <c r="J73" s="8" t="s">
        <v>530</v>
      </c>
      <c r="K73" s="8" t="s">
        <v>3</v>
      </c>
      <c r="L73" s="8" t="s">
        <v>523</v>
      </c>
      <c r="M73" s="8" t="s">
        <v>62</v>
      </c>
      <c r="N73" s="8" t="s">
        <v>12</v>
      </c>
      <c r="O73" s="8"/>
      <c r="P73" s="8"/>
      <c r="Q73" s="8"/>
      <c r="R73" s="9"/>
    </row>
    <row r="74" spans="1:18" ht="58.05" customHeight="1">
      <c r="A74" s="7" t="s">
        <v>531</v>
      </c>
      <c r="B74" s="8" t="s">
        <v>30</v>
      </c>
      <c r="C74" s="8" t="s">
        <v>532</v>
      </c>
      <c r="D74" s="8" t="s">
        <v>533</v>
      </c>
      <c r="E74" s="8" t="s">
        <v>518</v>
      </c>
      <c r="F74" s="8" t="s">
        <v>534</v>
      </c>
      <c r="G74" s="8" t="s">
        <v>535</v>
      </c>
      <c r="H74" s="14">
        <v>10</v>
      </c>
      <c r="I74" s="8" t="s">
        <v>536</v>
      </c>
      <c r="J74" s="8" t="s">
        <v>537</v>
      </c>
      <c r="K74" s="8" t="s">
        <v>4</v>
      </c>
      <c r="L74" s="8" t="s">
        <v>523</v>
      </c>
      <c r="M74" s="8" t="s">
        <v>62</v>
      </c>
      <c r="N74" s="8" t="s">
        <v>12</v>
      </c>
      <c r="O74" s="8"/>
      <c r="P74" s="8"/>
      <c r="Q74" s="8"/>
      <c r="R74" s="9"/>
    </row>
    <row r="75" spans="1:18" ht="58.05" customHeight="1">
      <c r="A75" s="7" t="s">
        <v>538</v>
      </c>
      <c r="B75" s="8" t="s">
        <v>30</v>
      </c>
      <c r="C75" s="8" t="s">
        <v>539</v>
      </c>
      <c r="D75" s="8" t="s">
        <v>540</v>
      </c>
      <c r="E75" s="8" t="s">
        <v>518</v>
      </c>
      <c r="F75" s="8" t="s">
        <v>541</v>
      </c>
      <c r="G75" s="8" t="s">
        <v>542</v>
      </c>
      <c r="H75" s="14">
        <v>3</v>
      </c>
      <c r="I75" s="8" t="s">
        <v>543</v>
      </c>
      <c r="J75" s="8" t="s">
        <v>544</v>
      </c>
      <c r="K75" s="8" t="s">
        <v>3</v>
      </c>
      <c r="L75" s="8" t="s">
        <v>523</v>
      </c>
      <c r="M75" s="8" t="s">
        <v>62</v>
      </c>
      <c r="N75" s="8" t="s">
        <v>12</v>
      </c>
      <c r="O75" s="8"/>
      <c r="P75" s="8"/>
      <c r="Q75" s="8"/>
      <c r="R75" s="9"/>
    </row>
    <row r="76" spans="1:18" ht="58.05" customHeight="1">
      <c r="A76" s="7" t="s">
        <v>545</v>
      </c>
      <c r="B76" s="8" t="s">
        <v>30</v>
      </c>
      <c r="C76" s="8" t="s">
        <v>546</v>
      </c>
      <c r="D76" s="8" t="s">
        <v>547</v>
      </c>
      <c r="E76" s="8" t="s">
        <v>518</v>
      </c>
      <c r="F76" s="8" t="s">
        <v>548</v>
      </c>
      <c r="G76" s="8" t="s">
        <v>549</v>
      </c>
      <c r="H76" s="14">
        <v>10</v>
      </c>
      <c r="I76" s="8" t="s">
        <v>550</v>
      </c>
      <c r="J76" s="8" t="s">
        <v>551</v>
      </c>
      <c r="K76" s="8" t="s">
        <v>3</v>
      </c>
      <c r="L76" s="8" t="s">
        <v>523</v>
      </c>
      <c r="M76" s="8" t="s">
        <v>62</v>
      </c>
      <c r="N76" s="8" t="s">
        <v>12</v>
      </c>
      <c r="O76" s="8"/>
      <c r="P76" s="8"/>
      <c r="Q76" s="8"/>
      <c r="R76" s="9"/>
    </row>
    <row r="77" spans="1:18" ht="58.05" customHeight="1">
      <c r="A77" s="7" t="s">
        <v>552</v>
      </c>
      <c r="B77" s="8" t="s">
        <v>30</v>
      </c>
      <c r="C77" s="8" t="s">
        <v>553</v>
      </c>
      <c r="D77" s="8" t="s">
        <v>554</v>
      </c>
      <c r="E77" s="8" t="s">
        <v>518</v>
      </c>
      <c r="F77" s="8" t="s">
        <v>555</v>
      </c>
      <c r="G77" s="8" t="s">
        <v>556</v>
      </c>
      <c r="H77" s="14">
        <v>10</v>
      </c>
      <c r="I77" s="8" t="s">
        <v>557</v>
      </c>
      <c r="J77" s="8" t="s">
        <v>558</v>
      </c>
      <c r="K77" s="8" t="s">
        <v>3</v>
      </c>
      <c r="L77" s="8" t="s">
        <v>523</v>
      </c>
      <c r="M77" s="8" t="s">
        <v>62</v>
      </c>
      <c r="N77" s="8" t="s">
        <v>12</v>
      </c>
      <c r="O77" s="8"/>
      <c r="P77" s="8"/>
      <c r="Q77" s="8"/>
      <c r="R77" s="9"/>
    </row>
    <row r="78" spans="1:18" ht="58.05" customHeight="1">
      <c r="A78" s="7" t="s">
        <v>559</v>
      </c>
      <c r="B78" s="8" t="s">
        <v>30</v>
      </c>
      <c r="C78" s="8" t="s">
        <v>553</v>
      </c>
      <c r="D78" s="8" t="s">
        <v>560</v>
      </c>
      <c r="E78" s="8" t="s">
        <v>518</v>
      </c>
      <c r="F78" s="8" t="s">
        <v>561</v>
      </c>
      <c r="G78" s="8" t="s">
        <v>562</v>
      </c>
      <c r="H78" s="14">
        <v>10</v>
      </c>
      <c r="I78" s="8" t="s">
        <v>563</v>
      </c>
      <c r="J78" s="8" t="s">
        <v>564</v>
      </c>
      <c r="K78" s="8" t="s">
        <v>3</v>
      </c>
      <c r="L78" s="8" t="s">
        <v>523</v>
      </c>
      <c r="M78" s="8" t="s">
        <v>62</v>
      </c>
      <c r="N78" s="8" t="s">
        <v>12</v>
      </c>
      <c r="O78" s="8"/>
      <c r="P78" s="8"/>
      <c r="Q78" s="8"/>
      <c r="R78" s="9"/>
    </row>
    <row r="79" spans="1:18" ht="58.05" customHeight="1">
      <c r="A79" s="7" t="s">
        <v>565</v>
      </c>
      <c r="B79" s="8" t="s">
        <v>30</v>
      </c>
      <c r="C79" s="8" t="s">
        <v>566</v>
      </c>
      <c r="D79" s="8" t="s">
        <v>567</v>
      </c>
      <c r="E79" s="8" t="s">
        <v>518</v>
      </c>
      <c r="F79" s="8" t="s">
        <v>568</v>
      </c>
      <c r="G79" s="8" t="s">
        <v>569</v>
      </c>
      <c r="H79" s="14">
        <v>10</v>
      </c>
      <c r="I79" s="8" t="s">
        <v>570</v>
      </c>
      <c r="J79" s="8" t="s">
        <v>558</v>
      </c>
      <c r="K79" s="8" t="s">
        <v>3</v>
      </c>
      <c r="L79" s="8" t="s">
        <v>523</v>
      </c>
      <c r="M79" s="8" t="s">
        <v>62</v>
      </c>
      <c r="N79" s="8" t="s">
        <v>12</v>
      </c>
      <c r="O79" s="8"/>
      <c r="P79" s="8"/>
      <c r="Q79" s="8"/>
      <c r="R79" s="9"/>
    </row>
    <row r="80" spans="1:18" ht="58.05" customHeight="1">
      <c r="A80" s="7" t="s">
        <v>571</v>
      </c>
      <c r="B80" s="8" t="s">
        <v>30</v>
      </c>
      <c r="C80" s="8" t="s">
        <v>572</v>
      </c>
      <c r="D80" s="8" t="s">
        <v>573</v>
      </c>
      <c r="E80" s="8" t="s">
        <v>518</v>
      </c>
      <c r="F80" s="8" t="s">
        <v>574</v>
      </c>
      <c r="G80" s="8" t="s">
        <v>575</v>
      </c>
      <c r="H80" s="14">
        <v>10</v>
      </c>
      <c r="I80" s="8" t="s">
        <v>576</v>
      </c>
      <c r="J80" s="8" t="s">
        <v>577</v>
      </c>
      <c r="K80" s="8" t="s">
        <v>3</v>
      </c>
      <c r="L80" s="8" t="s">
        <v>523</v>
      </c>
      <c r="M80" s="8" t="s">
        <v>62</v>
      </c>
      <c r="N80" s="8" t="s">
        <v>12</v>
      </c>
      <c r="O80" s="8"/>
      <c r="P80" s="8"/>
      <c r="Q80" s="8"/>
      <c r="R80" s="9"/>
    </row>
    <row r="81" spans="1:18" ht="58.05" customHeight="1">
      <c r="A81" s="7" t="s">
        <v>578</v>
      </c>
      <c r="B81" s="8" t="s">
        <v>30</v>
      </c>
      <c r="C81" s="8" t="s">
        <v>579</v>
      </c>
      <c r="D81" s="8" t="s">
        <v>580</v>
      </c>
      <c r="E81" s="8" t="s">
        <v>581</v>
      </c>
      <c r="F81" s="8" t="s">
        <v>582</v>
      </c>
      <c r="G81" s="8" t="s">
        <v>583</v>
      </c>
      <c r="H81" s="14">
        <v>100</v>
      </c>
      <c r="I81" s="8" t="s">
        <v>584</v>
      </c>
      <c r="J81" s="8" t="s">
        <v>585</v>
      </c>
      <c r="K81" s="8" t="s">
        <v>3</v>
      </c>
      <c r="L81" s="8" t="s">
        <v>586</v>
      </c>
      <c r="M81" s="8" t="s">
        <v>62</v>
      </c>
      <c r="N81" s="8" t="s">
        <v>12</v>
      </c>
      <c r="O81" s="8"/>
      <c r="P81" s="8"/>
      <c r="Q81" s="8"/>
      <c r="R81" s="9"/>
    </row>
    <row r="82" spans="1:18" ht="58.05" customHeight="1">
      <c r="A82" s="7" t="s">
        <v>587</v>
      </c>
      <c r="B82" s="8" t="s">
        <v>30</v>
      </c>
      <c r="C82" s="8" t="s">
        <v>579</v>
      </c>
      <c r="D82" s="8" t="s">
        <v>588</v>
      </c>
      <c r="E82" s="8" t="s">
        <v>589</v>
      </c>
      <c r="F82" s="8" t="s">
        <v>590</v>
      </c>
      <c r="G82" s="8" t="s">
        <v>591</v>
      </c>
      <c r="H82" s="14">
        <v>30</v>
      </c>
      <c r="I82" s="8" t="s">
        <v>592</v>
      </c>
      <c r="J82" s="8" t="s">
        <v>593</v>
      </c>
      <c r="K82" s="8" t="s">
        <v>3</v>
      </c>
      <c r="L82" s="8" t="s">
        <v>138</v>
      </c>
      <c r="M82" s="8" t="s">
        <v>62</v>
      </c>
      <c r="N82" s="8" t="s">
        <v>12</v>
      </c>
      <c r="O82" s="8"/>
      <c r="P82" s="8"/>
      <c r="Q82" s="8"/>
      <c r="R82" s="9"/>
    </row>
    <row r="83" spans="1:18" ht="58.05" customHeight="1">
      <c r="A83" s="7" t="s">
        <v>594</v>
      </c>
      <c r="B83" s="8" t="s">
        <v>30</v>
      </c>
      <c r="C83" s="8" t="s">
        <v>579</v>
      </c>
      <c r="D83" s="8" t="s">
        <v>595</v>
      </c>
      <c r="E83" s="8" t="s">
        <v>589</v>
      </c>
      <c r="F83" s="8" t="s">
        <v>596</v>
      </c>
      <c r="G83" s="8" t="s">
        <v>597</v>
      </c>
      <c r="H83" s="14">
        <v>30</v>
      </c>
      <c r="I83" s="8" t="s">
        <v>598</v>
      </c>
      <c r="J83" s="8" t="s">
        <v>599</v>
      </c>
      <c r="K83" s="8" t="s">
        <v>3</v>
      </c>
      <c r="L83" s="8" t="s">
        <v>586</v>
      </c>
      <c r="M83" s="8" t="s">
        <v>62</v>
      </c>
      <c r="N83" s="8" t="s">
        <v>12</v>
      </c>
      <c r="O83" s="8"/>
      <c r="P83" s="8"/>
      <c r="Q83" s="8"/>
      <c r="R83" s="9"/>
    </row>
    <row r="84" spans="1:18" ht="58.05" customHeight="1">
      <c r="A84" s="7" t="s">
        <v>600</v>
      </c>
      <c r="B84" s="8" t="s">
        <v>30</v>
      </c>
      <c r="C84" s="8" t="s">
        <v>601</v>
      </c>
      <c r="D84" s="8" t="s">
        <v>602</v>
      </c>
      <c r="E84" s="8" t="s">
        <v>603</v>
      </c>
      <c r="F84" s="8" t="s">
        <v>604</v>
      </c>
      <c r="G84" s="8" t="s">
        <v>605</v>
      </c>
      <c r="H84" s="14">
        <v>20</v>
      </c>
      <c r="I84" s="8" t="s">
        <v>606</v>
      </c>
      <c r="J84" s="8" t="s">
        <v>607</v>
      </c>
      <c r="K84" s="8" t="s">
        <v>3</v>
      </c>
      <c r="L84" s="8" t="s">
        <v>608</v>
      </c>
      <c r="M84" s="8" t="s">
        <v>62</v>
      </c>
      <c r="N84" s="8" t="s">
        <v>12</v>
      </c>
      <c r="O84" s="8"/>
      <c r="P84" s="8"/>
      <c r="Q84" s="8"/>
      <c r="R84" s="9"/>
    </row>
    <row r="85" spans="1:18" ht="58.05" customHeight="1">
      <c r="A85" s="7" t="s">
        <v>609</v>
      </c>
      <c r="B85" s="8" t="s">
        <v>30</v>
      </c>
      <c r="C85" s="8" t="s">
        <v>601</v>
      </c>
      <c r="D85" s="8" t="s">
        <v>610</v>
      </c>
      <c r="E85" s="8" t="s">
        <v>611</v>
      </c>
      <c r="F85" s="8" t="s">
        <v>612</v>
      </c>
      <c r="G85" s="8" t="s">
        <v>613</v>
      </c>
      <c r="H85" s="14">
        <v>20</v>
      </c>
      <c r="I85" s="8" t="s">
        <v>614</v>
      </c>
      <c r="J85" s="8" t="s">
        <v>615</v>
      </c>
      <c r="K85" s="8" t="s">
        <v>3</v>
      </c>
      <c r="L85" s="8" t="s">
        <v>608</v>
      </c>
      <c r="M85" s="8" t="s">
        <v>62</v>
      </c>
      <c r="N85" s="8" t="s">
        <v>12</v>
      </c>
      <c r="O85" s="8"/>
      <c r="P85" s="8"/>
      <c r="Q85" s="8"/>
      <c r="R85" s="9"/>
    </row>
    <row r="86" spans="1:18" ht="58.05" customHeight="1">
      <c r="A86" s="7" t="s">
        <v>616</v>
      </c>
      <c r="B86" s="8" t="s">
        <v>30</v>
      </c>
      <c r="C86" s="8" t="s">
        <v>617</v>
      </c>
      <c r="D86" s="8" t="s">
        <v>618</v>
      </c>
      <c r="E86" s="8" t="s">
        <v>589</v>
      </c>
      <c r="F86" s="8" t="s">
        <v>619</v>
      </c>
      <c r="G86" s="8" t="s">
        <v>620</v>
      </c>
      <c r="H86" s="14">
        <v>5</v>
      </c>
      <c r="I86" s="8" t="s">
        <v>621</v>
      </c>
      <c r="J86" s="8" t="s">
        <v>622</v>
      </c>
      <c r="K86" s="8" t="s">
        <v>3</v>
      </c>
      <c r="L86" s="8" t="s">
        <v>608</v>
      </c>
      <c r="M86" s="8" t="s">
        <v>62</v>
      </c>
      <c r="N86" s="8" t="s">
        <v>12</v>
      </c>
      <c r="O86" s="8"/>
      <c r="P86" s="8"/>
      <c r="Q86" s="8"/>
      <c r="R86" s="9"/>
    </row>
    <row r="87" spans="1:18" ht="58.05" customHeight="1">
      <c r="A87" s="7" t="s">
        <v>623</v>
      </c>
      <c r="B87" s="8" t="s">
        <v>30</v>
      </c>
      <c r="C87" s="8" t="s">
        <v>624</v>
      </c>
      <c r="D87" s="8" t="s">
        <v>625</v>
      </c>
      <c r="E87" s="8" t="s">
        <v>518</v>
      </c>
      <c r="F87" s="8" t="s">
        <v>626</v>
      </c>
      <c r="G87" s="8" t="s">
        <v>627</v>
      </c>
      <c r="H87" s="14">
        <v>30</v>
      </c>
      <c r="I87" s="8" t="s">
        <v>628</v>
      </c>
      <c r="J87" s="8" t="s">
        <v>629</v>
      </c>
      <c r="K87" s="8" t="s">
        <v>3</v>
      </c>
      <c r="L87" s="8" t="s">
        <v>101</v>
      </c>
      <c r="M87" s="8" t="s">
        <v>62</v>
      </c>
      <c r="N87" s="8" t="s">
        <v>12</v>
      </c>
      <c r="O87" s="8"/>
      <c r="P87" s="8"/>
      <c r="Q87" s="8"/>
      <c r="R87" s="9"/>
    </row>
    <row r="88" spans="1:18" ht="58.05" customHeight="1">
      <c r="A88" s="7" t="s">
        <v>630</v>
      </c>
      <c r="B88" s="8" t="s">
        <v>30</v>
      </c>
      <c r="C88" s="8" t="s">
        <v>624</v>
      </c>
      <c r="D88" s="8" t="s">
        <v>631</v>
      </c>
      <c r="E88" s="8" t="s">
        <v>518</v>
      </c>
      <c r="F88" s="8" t="s">
        <v>632</v>
      </c>
      <c r="G88" s="8" t="s">
        <v>627</v>
      </c>
      <c r="H88" s="14">
        <v>30</v>
      </c>
      <c r="I88" s="8" t="s">
        <v>633</v>
      </c>
      <c r="J88" s="8" t="s">
        <v>216</v>
      </c>
      <c r="K88" s="8" t="s">
        <v>3</v>
      </c>
      <c r="L88" s="8" t="s">
        <v>101</v>
      </c>
      <c r="M88" s="8" t="s">
        <v>62</v>
      </c>
      <c r="N88" s="8" t="s">
        <v>12</v>
      </c>
      <c r="O88" s="8"/>
      <c r="P88" s="8"/>
      <c r="Q88" s="8"/>
      <c r="R88" s="9"/>
    </row>
    <row r="89" spans="1:18" ht="58.05" customHeight="1">
      <c r="A89" s="7" t="s">
        <v>634</v>
      </c>
      <c r="B89" s="8" t="s">
        <v>30</v>
      </c>
      <c r="C89" s="8" t="s">
        <v>635</v>
      </c>
      <c r="D89" s="8" t="s">
        <v>636</v>
      </c>
      <c r="E89" s="8" t="s">
        <v>518</v>
      </c>
      <c r="F89" s="8" t="s">
        <v>637</v>
      </c>
      <c r="G89" s="8" t="s">
        <v>638</v>
      </c>
      <c r="H89" s="14">
        <v>10</v>
      </c>
      <c r="I89" s="8" t="s">
        <v>639</v>
      </c>
      <c r="J89" s="8" t="s">
        <v>640</v>
      </c>
      <c r="K89" s="8" t="s">
        <v>3</v>
      </c>
      <c r="L89" s="8" t="s">
        <v>101</v>
      </c>
      <c r="M89" s="8" t="s">
        <v>62</v>
      </c>
      <c r="N89" s="8" t="s">
        <v>12</v>
      </c>
      <c r="O89" s="8"/>
      <c r="P89" s="8"/>
      <c r="Q89" s="8"/>
      <c r="R89" s="9"/>
    </row>
    <row r="90" spans="1:18" ht="58.05" customHeight="1">
      <c r="A90" s="7" t="s">
        <v>641</v>
      </c>
      <c r="B90" s="8" t="s">
        <v>30</v>
      </c>
      <c r="C90" s="8" t="s">
        <v>642</v>
      </c>
      <c r="D90" s="8" t="s">
        <v>643</v>
      </c>
      <c r="E90" s="8" t="s">
        <v>518</v>
      </c>
      <c r="F90" s="8" t="s">
        <v>644</v>
      </c>
      <c r="G90" s="8" t="s">
        <v>638</v>
      </c>
      <c r="H90" s="14">
        <v>10</v>
      </c>
      <c r="I90" s="8" t="s">
        <v>645</v>
      </c>
      <c r="J90" s="8" t="s">
        <v>646</v>
      </c>
      <c r="K90" s="8" t="s">
        <v>3</v>
      </c>
      <c r="L90" s="8" t="s">
        <v>101</v>
      </c>
      <c r="M90" s="8" t="s">
        <v>62</v>
      </c>
      <c r="N90" s="8" t="s">
        <v>12</v>
      </c>
      <c r="O90" s="8"/>
      <c r="P90" s="8"/>
      <c r="Q90" s="8"/>
      <c r="R90" s="9"/>
    </row>
    <row r="91" spans="1:18" ht="58.05" customHeight="1">
      <c r="A91" s="7" t="s">
        <v>647</v>
      </c>
      <c r="B91" s="8" t="s">
        <v>30</v>
      </c>
      <c r="C91" s="8" t="s">
        <v>648</v>
      </c>
      <c r="D91" s="8" t="s">
        <v>649</v>
      </c>
      <c r="E91" s="8" t="s">
        <v>518</v>
      </c>
      <c r="F91" s="8" t="s">
        <v>650</v>
      </c>
      <c r="G91" s="8" t="s">
        <v>651</v>
      </c>
      <c r="H91" s="14">
        <v>5</v>
      </c>
      <c r="I91" s="8" t="s">
        <v>652</v>
      </c>
      <c r="J91" s="8" t="s">
        <v>653</v>
      </c>
      <c r="K91" s="8" t="s">
        <v>3</v>
      </c>
      <c r="L91" s="8" t="s">
        <v>281</v>
      </c>
      <c r="M91" s="8" t="s">
        <v>62</v>
      </c>
      <c r="N91" s="8" t="s">
        <v>12</v>
      </c>
      <c r="O91" s="8"/>
      <c r="P91" s="8"/>
      <c r="Q91" s="8"/>
      <c r="R91" s="9"/>
    </row>
    <row r="92" spans="1:18" ht="58.05" customHeight="1">
      <c r="A92" s="7" t="s">
        <v>654</v>
      </c>
      <c r="B92" s="8" t="s">
        <v>30</v>
      </c>
      <c r="C92" s="8" t="s">
        <v>655</v>
      </c>
      <c r="D92" s="8" t="s">
        <v>656</v>
      </c>
      <c r="E92" s="8" t="s">
        <v>518</v>
      </c>
      <c r="F92" s="8" t="s">
        <v>657</v>
      </c>
      <c r="G92" s="8" t="s">
        <v>658</v>
      </c>
      <c r="H92" s="14">
        <v>5</v>
      </c>
      <c r="I92" s="8" t="s">
        <v>659</v>
      </c>
      <c r="J92" s="8" t="s">
        <v>660</v>
      </c>
      <c r="K92" s="8" t="s">
        <v>4</v>
      </c>
      <c r="L92" s="8" t="s">
        <v>281</v>
      </c>
      <c r="M92" s="8" t="s">
        <v>62</v>
      </c>
      <c r="N92" s="8" t="s">
        <v>12</v>
      </c>
      <c r="O92" s="8"/>
      <c r="P92" s="8"/>
      <c r="Q92" s="8"/>
      <c r="R92" s="9"/>
    </row>
    <row r="93" spans="1:18" ht="58.05" customHeight="1">
      <c r="A93" s="7" t="s">
        <v>661</v>
      </c>
      <c r="B93" s="8" t="s">
        <v>30</v>
      </c>
      <c r="C93" s="8" t="s">
        <v>662</v>
      </c>
      <c r="D93" s="8" t="s">
        <v>663</v>
      </c>
      <c r="E93" s="8" t="s">
        <v>518</v>
      </c>
      <c r="F93" s="8" t="s">
        <v>664</v>
      </c>
      <c r="G93" s="8" t="s">
        <v>665</v>
      </c>
      <c r="H93" s="14">
        <v>5</v>
      </c>
      <c r="I93" s="8" t="s">
        <v>666</v>
      </c>
      <c r="J93" s="8" t="s">
        <v>667</v>
      </c>
      <c r="K93" s="8" t="s">
        <v>3</v>
      </c>
      <c r="L93" s="8" t="s">
        <v>281</v>
      </c>
      <c r="M93" s="8" t="s">
        <v>62</v>
      </c>
      <c r="N93" s="8" t="s">
        <v>12</v>
      </c>
      <c r="O93" s="8"/>
      <c r="P93" s="8"/>
      <c r="Q93" s="8"/>
      <c r="R93" s="9"/>
    </row>
    <row r="94" spans="1:18" ht="58.05" customHeight="1">
      <c r="A94" s="7" t="s">
        <v>668</v>
      </c>
      <c r="B94" s="8" t="s">
        <v>30</v>
      </c>
      <c r="C94" s="8" t="s">
        <v>669</v>
      </c>
      <c r="D94" s="8" t="s">
        <v>670</v>
      </c>
      <c r="E94" s="8" t="s">
        <v>518</v>
      </c>
      <c r="F94" s="8" t="s">
        <v>671</v>
      </c>
      <c r="G94" s="8" t="s">
        <v>672</v>
      </c>
      <c r="H94" s="14">
        <v>100</v>
      </c>
      <c r="I94" s="8" t="s">
        <v>673</v>
      </c>
      <c r="J94" s="8" t="s">
        <v>674</v>
      </c>
      <c r="K94" s="8" t="s">
        <v>3</v>
      </c>
      <c r="L94" s="8" t="s">
        <v>675</v>
      </c>
      <c r="M94" s="8" t="s">
        <v>62</v>
      </c>
      <c r="N94" s="8" t="s">
        <v>12</v>
      </c>
      <c r="O94" s="8"/>
      <c r="P94" s="8"/>
      <c r="Q94" s="8"/>
      <c r="R94" s="9"/>
    </row>
    <row r="95" spans="1:18" ht="58.05" customHeight="1">
      <c r="A95" s="7" t="s">
        <v>676</v>
      </c>
      <c r="B95" s="8" t="s">
        <v>30</v>
      </c>
      <c r="C95" s="8" t="s">
        <v>677</v>
      </c>
      <c r="D95" s="8" t="s">
        <v>678</v>
      </c>
      <c r="E95" s="8" t="s">
        <v>518</v>
      </c>
      <c r="F95" s="8" t="s">
        <v>679</v>
      </c>
      <c r="G95" s="8" t="s">
        <v>680</v>
      </c>
      <c r="H95" s="14">
        <v>10</v>
      </c>
      <c r="I95" s="8" t="s">
        <v>681</v>
      </c>
      <c r="J95" s="8" t="s">
        <v>682</v>
      </c>
      <c r="K95" s="8" t="s">
        <v>4</v>
      </c>
      <c r="L95" s="8" t="s">
        <v>683</v>
      </c>
      <c r="M95" s="8" t="s">
        <v>62</v>
      </c>
      <c r="N95" s="8" t="s">
        <v>12</v>
      </c>
      <c r="O95" s="8"/>
      <c r="P95" s="8"/>
      <c r="Q95" s="8"/>
      <c r="R95" s="9"/>
    </row>
    <row r="96" spans="1:18" ht="58.05" customHeight="1">
      <c r="A96" s="7" t="s">
        <v>684</v>
      </c>
      <c r="B96" s="8" t="s">
        <v>30</v>
      </c>
      <c r="C96" s="8" t="s">
        <v>685</v>
      </c>
      <c r="D96" s="8" t="s">
        <v>686</v>
      </c>
      <c r="E96" s="8" t="s">
        <v>518</v>
      </c>
      <c r="F96" s="8" t="s">
        <v>687</v>
      </c>
      <c r="G96" s="8" t="s">
        <v>688</v>
      </c>
      <c r="H96" s="14">
        <v>10</v>
      </c>
      <c r="I96" s="8" t="s">
        <v>689</v>
      </c>
      <c r="J96" s="8" t="s">
        <v>690</v>
      </c>
      <c r="K96" s="8" t="s">
        <v>4</v>
      </c>
      <c r="L96" s="8" t="s">
        <v>691</v>
      </c>
      <c r="M96" s="8" t="s">
        <v>62</v>
      </c>
      <c r="N96" s="8" t="s">
        <v>12</v>
      </c>
      <c r="O96" s="8"/>
      <c r="P96" s="8"/>
      <c r="Q96" s="8"/>
      <c r="R96" s="9"/>
    </row>
    <row r="97" spans="1:18" ht="58.05" customHeight="1">
      <c r="A97" s="7" t="s">
        <v>692</v>
      </c>
      <c r="B97" s="8" t="s">
        <v>30</v>
      </c>
      <c r="C97" s="8" t="s">
        <v>693</v>
      </c>
      <c r="D97" s="8" t="s">
        <v>694</v>
      </c>
      <c r="E97" s="8" t="s">
        <v>695</v>
      </c>
      <c r="F97" s="8" t="s">
        <v>696</v>
      </c>
      <c r="G97" s="8" t="s">
        <v>697</v>
      </c>
      <c r="H97" s="14">
        <v>10</v>
      </c>
      <c r="I97" s="8" t="s">
        <v>698</v>
      </c>
      <c r="J97" s="8" t="s">
        <v>699</v>
      </c>
      <c r="K97" s="8" t="s">
        <v>3</v>
      </c>
      <c r="L97" s="8" t="s">
        <v>700</v>
      </c>
      <c r="M97" s="8" t="s">
        <v>62</v>
      </c>
      <c r="N97" s="8" t="s">
        <v>12</v>
      </c>
      <c r="O97" s="8"/>
      <c r="P97" s="8"/>
      <c r="Q97" s="8"/>
      <c r="R97" s="9"/>
    </row>
    <row r="98" spans="1:18" ht="58.05" customHeight="1">
      <c r="A98" s="7" t="s">
        <v>701</v>
      </c>
      <c r="B98" s="8" t="s">
        <v>30</v>
      </c>
      <c r="C98" s="8" t="s">
        <v>702</v>
      </c>
      <c r="D98" s="8" t="s">
        <v>703</v>
      </c>
      <c r="E98" s="8" t="s">
        <v>518</v>
      </c>
      <c r="F98" s="8" t="s">
        <v>704</v>
      </c>
      <c r="G98" s="8" t="s">
        <v>705</v>
      </c>
      <c r="H98" s="14">
        <v>1</v>
      </c>
      <c r="I98" s="8" t="s">
        <v>706</v>
      </c>
      <c r="J98" s="8" t="s">
        <v>707</v>
      </c>
      <c r="K98" s="8" t="s">
        <v>3</v>
      </c>
      <c r="L98" s="8" t="s">
        <v>708</v>
      </c>
      <c r="M98" s="8" t="s">
        <v>62</v>
      </c>
      <c r="N98" s="8" t="s">
        <v>12</v>
      </c>
      <c r="O98" s="8"/>
      <c r="P98" s="8"/>
      <c r="Q98" s="8"/>
      <c r="R98" s="9"/>
    </row>
    <row r="99" spans="1:18" ht="58.05" customHeight="1">
      <c r="A99" s="7" t="s">
        <v>709</v>
      </c>
      <c r="B99" s="8" t="s">
        <v>32</v>
      </c>
      <c r="C99" s="8" t="s">
        <v>710</v>
      </c>
      <c r="D99" s="8" t="s">
        <v>711</v>
      </c>
      <c r="E99" s="8" t="s">
        <v>712</v>
      </c>
      <c r="F99" s="8" t="s">
        <v>713</v>
      </c>
      <c r="G99" s="8" t="s">
        <v>714</v>
      </c>
      <c r="H99" s="14">
        <v>30</v>
      </c>
      <c r="I99" s="8" t="s">
        <v>715</v>
      </c>
      <c r="J99" s="8" t="s">
        <v>716</v>
      </c>
      <c r="K99" s="8" t="s">
        <v>4</v>
      </c>
      <c r="L99" s="8" t="s">
        <v>717</v>
      </c>
      <c r="M99" s="8" t="s">
        <v>62</v>
      </c>
      <c r="N99" s="8" t="s">
        <v>12</v>
      </c>
      <c r="O99" s="8"/>
      <c r="P99" s="8"/>
      <c r="Q99" s="8"/>
      <c r="R99" s="9"/>
    </row>
    <row r="100" spans="1:18" ht="58.05" customHeight="1">
      <c r="A100" s="7" t="s">
        <v>718</v>
      </c>
      <c r="B100" s="8" t="s">
        <v>32</v>
      </c>
      <c r="C100" s="8" t="s">
        <v>719</v>
      </c>
      <c r="D100" s="8" t="s">
        <v>720</v>
      </c>
      <c r="E100" s="8" t="s">
        <v>721</v>
      </c>
      <c r="F100" s="8" t="s">
        <v>722</v>
      </c>
      <c r="G100" s="8" t="s">
        <v>723</v>
      </c>
      <c r="H100" s="14">
        <v>30</v>
      </c>
      <c r="I100" s="8" t="s">
        <v>724</v>
      </c>
      <c r="J100" s="8" t="s">
        <v>725</v>
      </c>
      <c r="K100" s="8" t="s">
        <v>3</v>
      </c>
      <c r="L100" s="8" t="s">
        <v>717</v>
      </c>
      <c r="M100" s="8" t="s">
        <v>62</v>
      </c>
      <c r="N100" s="8" t="s">
        <v>12</v>
      </c>
      <c r="O100" s="8"/>
      <c r="P100" s="8"/>
      <c r="Q100" s="8"/>
      <c r="R100" s="9"/>
    </row>
    <row r="101" spans="1:18" ht="58.05" customHeight="1">
      <c r="A101" s="7" t="s">
        <v>726</v>
      </c>
      <c r="B101" s="8" t="s">
        <v>32</v>
      </c>
      <c r="C101" s="8" t="s">
        <v>719</v>
      </c>
      <c r="D101" s="8" t="s">
        <v>727</v>
      </c>
      <c r="E101" s="8" t="s">
        <v>728</v>
      </c>
      <c r="F101" s="8" t="s">
        <v>729</v>
      </c>
      <c r="G101" s="8" t="s">
        <v>730</v>
      </c>
      <c r="H101" s="14">
        <v>30</v>
      </c>
      <c r="I101" s="8" t="s">
        <v>731</v>
      </c>
      <c r="J101" s="8" t="s">
        <v>732</v>
      </c>
      <c r="K101" s="8" t="s">
        <v>3</v>
      </c>
      <c r="L101" s="8" t="s">
        <v>717</v>
      </c>
      <c r="M101" s="8" t="s">
        <v>62</v>
      </c>
      <c r="N101" s="8" t="s">
        <v>12</v>
      </c>
      <c r="O101" s="8"/>
      <c r="P101" s="8"/>
      <c r="Q101" s="8"/>
      <c r="R101" s="9"/>
    </row>
    <row r="102" spans="1:18" ht="58.05" customHeight="1">
      <c r="A102" s="7" t="s">
        <v>733</v>
      </c>
      <c r="B102" s="8" t="s">
        <v>32</v>
      </c>
      <c r="C102" s="8" t="s">
        <v>734</v>
      </c>
      <c r="D102" s="8" t="s">
        <v>735</v>
      </c>
      <c r="E102" s="8" t="s">
        <v>736</v>
      </c>
      <c r="F102" s="8" t="s">
        <v>737</v>
      </c>
      <c r="G102" s="8" t="s">
        <v>738</v>
      </c>
      <c r="H102" s="14">
        <v>100</v>
      </c>
      <c r="I102" s="8" t="s">
        <v>739</v>
      </c>
      <c r="J102" s="8" t="s">
        <v>740</v>
      </c>
      <c r="K102" s="8" t="s">
        <v>3</v>
      </c>
      <c r="L102" s="8" t="s">
        <v>741</v>
      </c>
      <c r="M102" s="8" t="s">
        <v>62</v>
      </c>
      <c r="N102" s="8" t="s">
        <v>12</v>
      </c>
      <c r="O102" s="8"/>
      <c r="P102" s="8"/>
      <c r="Q102" s="8"/>
      <c r="R102" s="9"/>
    </row>
    <row r="103" spans="1:18" ht="58.05" customHeight="1">
      <c r="A103" s="7" t="s">
        <v>742</v>
      </c>
      <c r="B103" s="8" t="s">
        <v>32</v>
      </c>
      <c r="C103" s="8" t="s">
        <v>743</v>
      </c>
      <c r="D103" s="8" t="s">
        <v>744</v>
      </c>
      <c r="E103" s="8" t="s">
        <v>96</v>
      </c>
      <c r="F103" s="8" t="s">
        <v>745</v>
      </c>
      <c r="G103" s="8" t="s">
        <v>746</v>
      </c>
      <c r="H103" s="14">
        <v>3</v>
      </c>
      <c r="I103" s="8" t="s">
        <v>747</v>
      </c>
      <c r="J103" s="8" t="s">
        <v>748</v>
      </c>
      <c r="K103" s="8" t="s">
        <v>500</v>
      </c>
      <c r="L103" s="8" t="s">
        <v>743</v>
      </c>
      <c r="M103" s="8" t="s">
        <v>62</v>
      </c>
      <c r="N103" s="8" t="s">
        <v>12</v>
      </c>
      <c r="O103" s="8"/>
      <c r="P103" s="8"/>
      <c r="Q103" s="8"/>
      <c r="R103" s="9"/>
    </row>
    <row r="104" spans="1:18" ht="58.05" customHeight="1">
      <c r="A104" s="7" t="s">
        <v>749</v>
      </c>
      <c r="B104" s="8" t="s">
        <v>32</v>
      </c>
      <c r="C104" s="8" t="s">
        <v>750</v>
      </c>
      <c r="D104" s="8" t="s">
        <v>751</v>
      </c>
      <c r="E104" s="8" t="s">
        <v>752</v>
      </c>
      <c r="F104" s="8" t="s">
        <v>753</v>
      </c>
      <c r="G104" s="8" t="s">
        <v>754</v>
      </c>
      <c r="H104" s="14">
        <v>1</v>
      </c>
      <c r="I104" s="8" t="s">
        <v>755</v>
      </c>
      <c r="J104" s="8" t="s">
        <v>756</v>
      </c>
      <c r="K104" s="8" t="s">
        <v>3</v>
      </c>
      <c r="L104" s="8" t="s">
        <v>757</v>
      </c>
      <c r="M104" s="8" t="s">
        <v>62</v>
      </c>
      <c r="N104" s="8" t="s">
        <v>12</v>
      </c>
      <c r="O104" s="8"/>
      <c r="P104" s="8"/>
      <c r="Q104" s="8"/>
      <c r="R104" s="9"/>
    </row>
    <row r="105" spans="1:18" ht="58.05" customHeight="1">
      <c r="A105" s="7" t="s">
        <v>758</v>
      </c>
      <c r="B105" s="8" t="s">
        <v>32</v>
      </c>
      <c r="C105" s="8" t="s">
        <v>759</v>
      </c>
      <c r="D105" s="8" t="s">
        <v>760</v>
      </c>
      <c r="E105" s="8" t="s">
        <v>761</v>
      </c>
      <c r="F105" s="8" t="s">
        <v>762</v>
      </c>
      <c r="G105" s="8" t="s">
        <v>763</v>
      </c>
      <c r="H105" s="14">
        <v>1</v>
      </c>
      <c r="I105" s="8" t="s">
        <v>764</v>
      </c>
      <c r="J105" s="8" t="s">
        <v>765</v>
      </c>
      <c r="K105" s="8" t="s">
        <v>3</v>
      </c>
      <c r="L105" s="8" t="s">
        <v>766</v>
      </c>
      <c r="M105" s="8" t="s">
        <v>62</v>
      </c>
      <c r="N105" s="8" t="s">
        <v>12</v>
      </c>
      <c r="O105" s="8"/>
      <c r="P105" s="8"/>
      <c r="Q105" s="8"/>
      <c r="R105" s="9"/>
    </row>
    <row r="106" spans="1:18" ht="58.05" customHeight="1">
      <c r="A106" s="10" t="s">
        <v>767</v>
      </c>
      <c r="B106" s="11" t="s">
        <v>32</v>
      </c>
      <c r="C106" s="11" t="s">
        <v>768</v>
      </c>
      <c r="D106" s="11" t="s">
        <v>769</v>
      </c>
      <c r="E106" s="11" t="s">
        <v>770</v>
      </c>
      <c r="F106" s="11" t="s">
        <v>771</v>
      </c>
      <c r="G106" s="11" t="s">
        <v>772</v>
      </c>
      <c r="H106" s="15">
        <v>1</v>
      </c>
      <c r="I106" s="11" t="s">
        <v>773</v>
      </c>
      <c r="J106" s="11" t="s">
        <v>774</v>
      </c>
      <c r="K106" s="11" t="s">
        <v>3</v>
      </c>
      <c r="L106" s="11" t="s">
        <v>775</v>
      </c>
      <c r="M106" s="11" t="s">
        <v>62</v>
      </c>
      <c r="N106" s="11" t="s">
        <v>12</v>
      </c>
      <c r="O106" s="11"/>
      <c r="P106" s="11"/>
      <c r="Q106" s="11"/>
      <c r="R106" s="12"/>
    </row>
  </sheetData>
  <mergeCells count="2">
    <mergeCell ref="A1:H1"/>
    <mergeCell ref="A2:H2"/>
  </mergeCells>
  <conditionalFormatting sqref="N5:N106">
    <cfRule type="containsText" dxfId="6" priority="1" operator="containsText" text="Passed"/>
    <cfRule type="containsText" dxfId="5" priority="2" operator="containsText" text="Failed"/>
    <cfRule type="containsText" dxfId="4" priority="3" operator="containsText" text="Blocked"/>
  </conditionalFormatting>
  <dataValidations count="2">
    <dataValidation type="list" sqref="N5:N106" xr:uid="{00000000-0002-0000-0100-000000000000}">
      <formula1>"Not Run,Passed,Failed,Blocked,N/A"</formula1>
    </dataValidation>
    <dataValidation type="list" sqref="K5:K106" xr:uid="{00000000-0002-0000-0100-000001000000}">
      <formula1>"P0,P1,P2,P3"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showGridLines="0" tabSelected="1" topLeftCell="A10" workbookViewId="0">
      <selection activeCell="D17" sqref="D17"/>
    </sheetView>
  </sheetViews>
  <sheetFormatPr defaultRowHeight="13.8"/>
  <cols>
    <col min="1" max="1" width="12" customWidth="1"/>
    <col min="2" max="2" width="13" customWidth="1"/>
    <col min="3" max="3" width="24" customWidth="1"/>
    <col min="4" max="4" width="14" customWidth="1"/>
    <col min="5" max="5" width="10" customWidth="1"/>
    <col min="6" max="6" width="12" customWidth="1"/>
    <col min="7" max="7" width="18" customWidth="1"/>
    <col min="8" max="8" width="15" customWidth="1"/>
    <col min="9" max="9" width="22" customWidth="1"/>
    <col min="10" max="13" width="10" customWidth="1"/>
    <col min="14" max="14" width="15" customWidth="1"/>
  </cols>
  <sheetData>
    <row r="1" spans="1:14" ht="34.049999999999997" customHeight="1">
      <c r="A1" s="42" t="s">
        <v>776</v>
      </c>
      <c r="B1" s="42" t="s">
        <v>776</v>
      </c>
      <c r="C1" s="42" t="s">
        <v>776</v>
      </c>
      <c r="D1" s="42" t="s">
        <v>776</v>
      </c>
      <c r="E1" s="42" t="s">
        <v>776</v>
      </c>
      <c r="F1" s="42" t="s">
        <v>776</v>
      </c>
      <c r="G1" s="42" t="s">
        <v>776</v>
      </c>
      <c r="H1" s="42" t="s">
        <v>776</v>
      </c>
    </row>
    <row r="2" spans="1:14" ht="25.95" customHeight="1">
      <c r="A2" s="43" t="s">
        <v>777</v>
      </c>
      <c r="B2" s="43" t="s">
        <v>777</v>
      </c>
      <c r="C2" s="43" t="s">
        <v>777</v>
      </c>
      <c r="D2" s="43" t="s">
        <v>777</v>
      </c>
      <c r="E2" s="43" t="s">
        <v>777</v>
      </c>
      <c r="F2" s="43" t="s">
        <v>777</v>
      </c>
      <c r="G2" s="43" t="s">
        <v>777</v>
      </c>
      <c r="H2" s="43" t="s">
        <v>777</v>
      </c>
    </row>
    <row r="4" spans="1:14" ht="28.05" customHeight="1">
      <c r="A4" s="16" t="s">
        <v>778</v>
      </c>
      <c r="B4" s="17" t="s">
        <v>779</v>
      </c>
      <c r="C4" s="17" t="s">
        <v>780</v>
      </c>
      <c r="D4" s="17" t="s">
        <v>781</v>
      </c>
      <c r="E4" s="17" t="s">
        <v>782</v>
      </c>
      <c r="F4" s="17" t="s">
        <v>783</v>
      </c>
      <c r="G4" s="17" t="s">
        <v>784</v>
      </c>
      <c r="H4" s="17" t="s">
        <v>785</v>
      </c>
      <c r="I4" s="17" t="s">
        <v>786</v>
      </c>
      <c r="J4" s="17" t="s">
        <v>787</v>
      </c>
      <c r="K4" s="17" t="s">
        <v>788</v>
      </c>
      <c r="L4" s="17" t="s">
        <v>789</v>
      </c>
      <c r="M4" s="17" t="s">
        <v>790</v>
      </c>
      <c r="N4" s="18" t="s">
        <v>791</v>
      </c>
    </row>
    <row r="5" spans="1:14" ht="34.049999999999997" customHeight="1">
      <c r="A5" s="4" t="s">
        <v>792</v>
      </c>
      <c r="B5" s="5" t="s">
        <v>793</v>
      </c>
      <c r="C5" s="5" t="s">
        <v>794</v>
      </c>
      <c r="D5" s="19">
        <v>0.5</v>
      </c>
      <c r="E5" s="5" t="s">
        <v>795</v>
      </c>
      <c r="F5" s="5" t="s">
        <v>796</v>
      </c>
      <c r="G5" s="5" t="s">
        <v>797</v>
      </c>
      <c r="H5" s="5" t="s">
        <v>798</v>
      </c>
      <c r="I5" s="5" t="s">
        <v>799</v>
      </c>
      <c r="J5" s="22">
        <v>10</v>
      </c>
      <c r="K5" s="22">
        <v>10</v>
      </c>
      <c r="L5" s="22">
        <v>2</v>
      </c>
      <c r="M5" s="22">
        <v>2</v>
      </c>
      <c r="N5" s="23">
        <f>J5*K5*L5*M5</f>
        <v>400</v>
      </c>
    </row>
    <row r="6" spans="1:14" ht="34.049999999999997" customHeight="1">
      <c r="A6" s="7" t="s">
        <v>800</v>
      </c>
      <c r="B6" s="8" t="s">
        <v>801</v>
      </c>
      <c r="C6" s="8" t="s">
        <v>794</v>
      </c>
      <c r="D6" s="20">
        <v>0.5</v>
      </c>
      <c r="E6" s="8" t="s">
        <v>795</v>
      </c>
      <c r="F6" s="8" t="s">
        <v>796</v>
      </c>
      <c r="G6" s="8" t="s">
        <v>797</v>
      </c>
      <c r="H6" s="8" t="s">
        <v>798</v>
      </c>
      <c r="I6" s="8" t="s">
        <v>799</v>
      </c>
      <c r="J6" s="24">
        <v>10</v>
      </c>
      <c r="K6" s="24">
        <v>10</v>
      </c>
      <c r="L6" s="24">
        <v>2</v>
      </c>
      <c r="M6" s="24">
        <v>2</v>
      </c>
      <c r="N6" s="25">
        <f t="shared" ref="N5:N24" si="0">J6*K6*L6*M6</f>
        <v>400</v>
      </c>
    </row>
    <row r="7" spans="1:14" ht="34.049999999999997" customHeight="1">
      <c r="A7" s="7" t="s">
        <v>802</v>
      </c>
      <c r="B7" s="8" t="s">
        <v>803</v>
      </c>
      <c r="C7" s="8" t="s">
        <v>794</v>
      </c>
      <c r="D7" s="20">
        <v>0.5</v>
      </c>
      <c r="E7" s="8" t="s">
        <v>795</v>
      </c>
      <c r="F7" s="8" t="s">
        <v>796</v>
      </c>
      <c r="G7" s="8" t="s">
        <v>797</v>
      </c>
      <c r="H7" s="8" t="s">
        <v>798</v>
      </c>
      <c r="I7" s="8" t="s">
        <v>799</v>
      </c>
      <c r="J7" s="24">
        <v>10</v>
      </c>
      <c r="K7" s="24">
        <v>10</v>
      </c>
      <c r="L7" s="24">
        <v>2</v>
      </c>
      <c r="M7" s="24">
        <v>2</v>
      </c>
      <c r="N7" s="25">
        <f t="shared" si="0"/>
        <v>400</v>
      </c>
    </row>
    <row r="8" spans="1:14" ht="34.049999999999997" customHeight="1">
      <c r="A8" s="7" t="s">
        <v>804</v>
      </c>
      <c r="B8" s="8" t="s">
        <v>805</v>
      </c>
      <c r="C8" s="8" t="s">
        <v>794</v>
      </c>
      <c r="D8" s="20">
        <v>0.5</v>
      </c>
      <c r="E8" s="8" t="s">
        <v>795</v>
      </c>
      <c r="F8" s="8" t="s">
        <v>796</v>
      </c>
      <c r="G8" s="8" t="s">
        <v>797</v>
      </c>
      <c r="H8" s="8" t="s">
        <v>798</v>
      </c>
      <c r="I8" s="8" t="s">
        <v>799</v>
      </c>
      <c r="J8" s="24">
        <v>10</v>
      </c>
      <c r="K8" s="24">
        <v>10</v>
      </c>
      <c r="L8" s="24">
        <v>2</v>
      </c>
      <c r="M8" s="24">
        <v>2</v>
      </c>
      <c r="N8" s="25">
        <f t="shared" si="0"/>
        <v>400</v>
      </c>
    </row>
    <row r="9" spans="1:14" ht="34.049999999999997" customHeight="1">
      <c r="A9" s="7" t="s">
        <v>806</v>
      </c>
      <c r="B9" s="8" t="s">
        <v>807</v>
      </c>
      <c r="C9" s="8" t="s">
        <v>794</v>
      </c>
      <c r="D9" s="20">
        <v>0.5</v>
      </c>
      <c r="E9" s="8" t="s">
        <v>795</v>
      </c>
      <c r="F9" s="8" t="s">
        <v>796</v>
      </c>
      <c r="G9" s="8" t="s">
        <v>797</v>
      </c>
      <c r="H9" s="8" t="s">
        <v>798</v>
      </c>
      <c r="I9" s="8" t="s">
        <v>799</v>
      </c>
      <c r="J9" s="24">
        <v>10</v>
      </c>
      <c r="K9" s="24">
        <v>10</v>
      </c>
      <c r="L9" s="24">
        <v>2</v>
      </c>
      <c r="M9" s="24">
        <v>2</v>
      </c>
      <c r="N9" s="25">
        <f t="shared" si="0"/>
        <v>400</v>
      </c>
    </row>
    <row r="10" spans="1:14" ht="34.049999999999997" customHeight="1">
      <c r="A10" s="7" t="s">
        <v>808</v>
      </c>
      <c r="B10" s="8" t="s">
        <v>809</v>
      </c>
      <c r="C10" s="8" t="s">
        <v>810</v>
      </c>
      <c r="D10" s="20">
        <v>0.3</v>
      </c>
      <c r="E10" s="8" t="s">
        <v>795</v>
      </c>
      <c r="F10" s="8" t="s">
        <v>796</v>
      </c>
      <c r="G10" s="8" t="s">
        <v>798</v>
      </c>
      <c r="H10" s="8" t="s">
        <v>811</v>
      </c>
      <c r="I10" s="8" t="s">
        <v>799</v>
      </c>
      <c r="J10" s="24">
        <v>10</v>
      </c>
      <c r="K10" s="24">
        <v>4</v>
      </c>
      <c r="L10" s="24">
        <v>1</v>
      </c>
      <c r="M10" s="24">
        <v>1</v>
      </c>
      <c r="N10" s="25">
        <f t="shared" si="0"/>
        <v>40</v>
      </c>
    </row>
    <row r="11" spans="1:14" ht="34.049999999999997" customHeight="1">
      <c r="A11" s="7" t="s">
        <v>812</v>
      </c>
      <c r="B11" s="8" t="s">
        <v>809</v>
      </c>
      <c r="C11" s="8" t="s">
        <v>813</v>
      </c>
      <c r="D11" s="20">
        <v>1</v>
      </c>
      <c r="E11" s="8" t="s">
        <v>795</v>
      </c>
      <c r="F11" s="8" t="s">
        <v>814</v>
      </c>
      <c r="G11" s="8" t="s">
        <v>798</v>
      </c>
      <c r="H11" s="8" t="s">
        <v>798</v>
      </c>
      <c r="I11" s="8" t="s">
        <v>799</v>
      </c>
      <c r="J11" s="24">
        <v>15</v>
      </c>
      <c r="K11" s="24">
        <v>4</v>
      </c>
      <c r="L11" s="24">
        <v>2</v>
      </c>
      <c r="M11" s="24">
        <v>1</v>
      </c>
      <c r="N11" s="25">
        <f t="shared" si="0"/>
        <v>120</v>
      </c>
    </row>
    <row r="12" spans="1:14" ht="34.049999999999997" customHeight="1">
      <c r="A12" s="7" t="s">
        <v>815</v>
      </c>
      <c r="B12" s="8" t="s">
        <v>809</v>
      </c>
      <c r="C12" s="8" t="s">
        <v>816</v>
      </c>
      <c r="D12" s="20">
        <v>2</v>
      </c>
      <c r="E12" s="8" t="s">
        <v>795</v>
      </c>
      <c r="F12" s="8" t="s">
        <v>814</v>
      </c>
      <c r="G12" s="8" t="s">
        <v>798</v>
      </c>
      <c r="H12" s="8" t="s">
        <v>798</v>
      </c>
      <c r="I12" s="8" t="s">
        <v>799</v>
      </c>
      <c r="J12" s="24">
        <v>15</v>
      </c>
      <c r="K12" s="24">
        <v>4</v>
      </c>
      <c r="L12" s="24">
        <v>2</v>
      </c>
      <c r="M12" s="24">
        <v>1</v>
      </c>
      <c r="N12" s="25">
        <f t="shared" si="0"/>
        <v>120</v>
      </c>
    </row>
    <row r="13" spans="1:14" ht="34.049999999999997" customHeight="1">
      <c r="A13" s="7" t="s">
        <v>817</v>
      </c>
      <c r="B13" s="8" t="s">
        <v>809</v>
      </c>
      <c r="C13" s="8" t="s">
        <v>818</v>
      </c>
      <c r="D13" s="20">
        <v>3</v>
      </c>
      <c r="E13" s="8" t="s">
        <v>795</v>
      </c>
      <c r="F13" s="8" t="s">
        <v>796</v>
      </c>
      <c r="G13" s="8" t="s">
        <v>798</v>
      </c>
      <c r="H13" s="8" t="s">
        <v>798</v>
      </c>
      <c r="I13" s="8" t="s">
        <v>799</v>
      </c>
      <c r="J13" s="24">
        <v>10</v>
      </c>
      <c r="K13" s="24">
        <v>4</v>
      </c>
      <c r="L13" s="24">
        <v>1</v>
      </c>
      <c r="M13" s="24">
        <v>1</v>
      </c>
      <c r="N13" s="25">
        <f t="shared" si="0"/>
        <v>40</v>
      </c>
    </row>
    <row r="14" spans="1:14" ht="34.049999999999997" customHeight="1">
      <c r="A14" s="7" t="s">
        <v>819</v>
      </c>
      <c r="B14" s="8" t="s">
        <v>809</v>
      </c>
      <c r="C14" s="8" t="s">
        <v>316</v>
      </c>
      <c r="D14" s="20">
        <v>0.5</v>
      </c>
      <c r="E14" s="8" t="s">
        <v>795</v>
      </c>
      <c r="F14" s="8" t="s">
        <v>796</v>
      </c>
      <c r="G14" s="8" t="s">
        <v>820</v>
      </c>
      <c r="H14" s="8" t="s">
        <v>798</v>
      </c>
      <c r="I14" s="8" t="s">
        <v>799</v>
      </c>
      <c r="J14" s="24">
        <v>15</v>
      </c>
      <c r="K14" s="24">
        <v>4</v>
      </c>
      <c r="L14" s="24">
        <v>2</v>
      </c>
      <c r="M14" s="24">
        <v>1</v>
      </c>
      <c r="N14" s="25">
        <f t="shared" si="0"/>
        <v>120</v>
      </c>
    </row>
    <row r="15" spans="1:14" ht="34.049999999999997" customHeight="1">
      <c r="A15" s="7" t="s">
        <v>821</v>
      </c>
      <c r="B15" s="8" t="s">
        <v>809</v>
      </c>
      <c r="C15" s="8" t="s">
        <v>309</v>
      </c>
      <c r="D15" s="20">
        <v>0.5</v>
      </c>
      <c r="E15" s="8" t="s">
        <v>795</v>
      </c>
      <c r="F15" s="8" t="s">
        <v>796</v>
      </c>
      <c r="G15" s="8" t="s">
        <v>822</v>
      </c>
      <c r="H15" s="8" t="s">
        <v>798</v>
      </c>
      <c r="I15" s="8" t="s">
        <v>799</v>
      </c>
      <c r="J15" s="24">
        <v>15</v>
      </c>
      <c r="K15" s="24">
        <v>4</v>
      </c>
      <c r="L15" s="24">
        <v>2</v>
      </c>
      <c r="M15" s="24">
        <v>1</v>
      </c>
      <c r="N15" s="25">
        <f t="shared" si="0"/>
        <v>120</v>
      </c>
    </row>
    <row r="16" spans="1:14" ht="34.049999999999997" customHeight="1">
      <c r="A16" s="7" t="s">
        <v>823</v>
      </c>
      <c r="B16" s="8" t="s">
        <v>809</v>
      </c>
      <c r="C16" s="8" t="s">
        <v>824</v>
      </c>
      <c r="D16" s="20">
        <v>0.5</v>
      </c>
      <c r="E16" s="8" t="s">
        <v>795</v>
      </c>
      <c r="F16" s="8" t="s">
        <v>796</v>
      </c>
      <c r="G16" s="8" t="s">
        <v>825</v>
      </c>
      <c r="H16" s="8" t="s">
        <v>798</v>
      </c>
      <c r="I16" s="8" t="s">
        <v>799</v>
      </c>
      <c r="J16" s="24">
        <v>10</v>
      </c>
      <c r="K16" s="24">
        <v>4</v>
      </c>
      <c r="L16" s="24">
        <v>1</v>
      </c>
      <c r="M16" s="24">
        <v>1</v>
      </c>
      <c r="N16" s="25">
        <f t="shared" si="0"/>
        <v>40</v>
      </c>
    </row>
    <row r="17" spans="1:14" ht="34.049999999999997" customHeight="1">
      <c r="A17" s="7" t="s">
        <v>826</v>
      </c>
      <c r="B17" s="8" t="s">
        <v>809</v>
      </c>
      <c r="C17" s="8" t="s">
        <v>827</v>
      </c>
      <c r="D17" s="20">
        <v>0.5</v>
      </c>
      <c r="E17" s="8" t="s">
        <v>795</v>
      </c>
      <c r="F17" s="8" t="s">
        <v>828</v>
      </c>
      <c r="G17" s="8" t="s">
        <v>798</v>
      </c>
      <c r="H17" s="8" t="s">
        <v>798</v>
      </c>
      <c r="I17" s="8" t="s">
        <v>799</v>
      </c>
      <c r="J17" s="24">
        <v>15</v>
      </c>
      <c r="K17" s="24">
        <v>4</v>
      </c>
      <c r="L17" s="24">
        <v>2</v>
      </c>
      <c r="M17" s="24">
        <v>1</v>
      </c>
      <c r="N17" s="25">
        <f t="shared" si="0"/>
        <v>120</v>
      </c>
    </row>
    <row r="18" spans="1:14" ht="34.049999999999997" customHeight="1">
      <c r="A18" s="7" t="s">
        <v>829</v>
      </c>
      <c r="B18" s="8" t="s">
        <v>809</v>
      </c>
      <c r="C18" s="8" t="s">
        <v>830</v>
      </c>
      <c r="D18" s="20">
        <v>1</v>
      </c>
      <c r="E18" s="8" t="s">
        <v>831</v>
      </c>
      <c r="F18" s="8" t="s">
        <v>814</v>
      </c>
      <c r="G18" s="8" t="s">
        <v>798</v>
      </c>
      <c r="H18" s="8" t="s">
        <v>798</v>
      </c>
      <c r="I18" s="8" t="s">
        <v>799</v>
      </c>
      <c r="J18" s="24">
        <v>10</v>
      </c>
      <c r="K18" s="24">
        <v>4</v>
      </c>
      <c r="L18" s="24">
        <v>1</v>
      </c>
      <c r="M18" s="24">
        <v>1</v>
      </c>
      <c r="N18" s="25">
        <f t="shared" si="0"/>
        <v>40</v>
      </c>
    </row>
    <row r="19" spans="1:14" ht="34.049999999999997" customHeight="1">
      <c r="A19" s="7" t="s">
        <v>832</v>
      </c>
      <c r="B19" s="8" t="s">
        <v>809</v>
      </c>
      <c r="C19" s="8" t="s">
        <v>833</v>
      </c>
      <c r="D19" s="20">
        <v>1</v>
      </c>
      <c r="E19" s="8" t="s">
        <v>834</v>
      </c>
      <c r="F19" s="8" t="s">
        <v>814</v>
      </c>
      <c r="G19" s="8" t="s">
        <v>798</v>
      </c>
      <c r="H19" s="8" t="s">
        <v>798</v>
      </c>
      <c r="I19" s="8" t="s">
        <v>799</v>
      </c>
      <c r="J19" s="24">
        <v>10</v>
      </c>
      <c r="K19" s="24">
        <v>4</v>
      </c>
      <c r="L19" s="24">
        <v>1</v>
      </c>
      <c r="M19" s="24">
        <v>1</v>
      </c>
      <c r="N19" s="25">
        <f t="shared" si="0"/>
        <v>40</v>
      </c>
    </row>
    <row r="20" spans="1:14" ht="34.049999999999997" customHeight="1">
      <c r="A20" s="7" t="s">
        <v>835</v>
      </c>
      <c r="B20" s="8" t="s">
        <v>809</v>
      </c>
      <c r="C20" s="8" t="s">
        <v>836</v>
      </c>
      <c r="D20" s="20">
        <v>1</v>
      </c>
      <c r="E20" s="8" t="s">
        <v>837</v>
      </c>
      <c r="F20" s="8" t="s">
        <v>814</v>
      </c>
      <c r="G20" s="8" t="s">
        <v>798</v>
      </c>
      <c r="H20" s="8" t="s">
        <v>798</v>
      </c>
      <c r="I20" s="8" t="s">
        <v>799</v>
      </c>
      <c r="J20" s="24">
        <v>10</v>
      </c>
      <c r="K20" s="24">
        <v>4</v>
      </c>
      <c r="L20" s="24">
        <v>1</v>
      </c>
      <c r="M20" s="24">
        <v>1</v>
      </c>
      <c r="N20" s="25">
        <f t="shared" si="0"/>
        <v>40</v>
      </c>
    </row>
    <row r="21" spans="1:14" ht="34.049999999999997" customHeight="1">
      <c r="A21" s="7" t="s">
        <v>838</v>
      </c>
      <c r="B21" s="8" t="s">
        <v>809</v>
      </c>
      <c r="C21" s="8" t="s">
        <v>839</v>
      </c>
      <c r="D21" s="20">
        <v>0.5</v>
      </c>
      <c r="E21" s="8" t="s">
        <v>795</v>
      </c>
      <c r="F21" s="8" t="s">
        <v>796</v>
      </c>
      <c r="G21" s="8" t="s">
        <v>798</v>
      </c>
      <c r="H21" s="8" t="s">
        <v>798</v>
      </c>
      <c r="I21" s="8" t="s">
        <v>840</v>
      </c>
      <c r="J21" s="24">
        <v>10</v>
      </c>
      <c r="K21" s="24">
        <v>4</v>
      </c>
      <c r="L21" s="24">
        <v>1</v>
      </c>
      <c r="M21" s="24">
        <v>1</v>
      </c>
      <c r="N21" s="25">
        <f t="shared" si="0"/>
        <v>40</v>
      </c>
    </row>
    <row r="22" spans="1:14" ht="34.049999999999997" customHeight="1">
      <c r="A22" s="7" t="s">
        <v>841</v>
      </c>
      <c r="B22" s="8" t="s">
        <v>809</v>
      </c>
      <c r="C22" s="8" t="s">
        <v>842</v>
      </c>
      <c r="D22" s="20">
        <v>0.5</v>
      </c>
      <c r="E22" s="8" t="s">
        <v>795</v>
      </c>
      <c r="F22" s="8" t="s">
        <v>796</v>
      </c>
      <c r="G22" s="8" t="s">
        <v>798</v>
      </c>
      <c r="H22" s="8" t="s">
        <v>798</v>
      </c>
      <c r="I22" s="8" t="s">
        <v>843</v>
      </c>
      <c r="J22" s="24">
        <v>10</v>
      </c>
      <c r="K22" s="24">
        <v>4</v>
      </c>
      <c r="L22" s="24">
        <v>1</v>
      </c>
      <c r="M22" s="24">
        <v>1</v>
      </c>
      <c r="N22" s="25">
        <f t="shared" si="0"/>
        <v>40</v>
      </c>
    </row>
    <row r="23" spans="1:14" ht="34.049999999999997" customHeight="1">
      <c r="A23" s="7" t="s">
        <v>844</v>
      </c>
      <c r="B23" s="8" t="s">
        <v>809</v>
      </c>
      <c r="C23" s="8" t="s">
        <v>845</v>
      </c>
      <c r="D23" s="20">
        <v>0.5</v>
      </c>
      <c r="E23" s="8" t="s">
        <v>795</v>
      </c>
      <c r="F23" s="8" t="s">
        <v>814</v>
      </c>
      <c r="G23" s="8" t="s">
        <v>798</v>
      </c>
      <c r="H23" s="8" t="s">
        <v>798</v>
      </c>
      <c r="I23" s="8" t="s">
        <v>799</v>
      </c>
      <c r="J23" s="24">
        <v>15</v>
      </c>
      <c r="K23" s="24">
        <v>4</v>
      </c>
      <c r="L23" s="24">
        <v>1</v>
      </c>
      <c r="M23" s="24">
        <v>1</v>
      </c>
      <c r="N23" s="25">
        <f t="shared" si="0"/>
        <v>60</v>
      </c>
    </row>
    <row r="24" spans="1:14" ht="34.049999999999997" customHeight="1">
      <c r="A24" s="10" t="s">
        <v>846</v>
      </c>
      <c r="B24" s="11" t="s">
        <v>809</v>
      </c>
      <c r="C24" s="11" t="s">
        <v>847</v>
      </c>
      <c r="D24" s="21">
        <v>1</v>
      </c>
      <c r="E24" s="11" t="s">
        <v>795</v>
      </c>
      <c r="F24" s="11" t="s">
        <v>814</v>
      </c>
      <c r="G24" s="11" t="s">
        <v>798</v>
      </c>
      <c r="H24" s="11" t="s">
        <v>798</v>
      </c>
      <c r="I24" s="11" t="s">
        <v>799</v>
      </c>
      <c r="J24" s="26">
        <v>10</v>
      </c>
      <c r="K24" s="26">
        <v>2</v>
      </c>
      <c r="L24" s="26">
        <v>1</v>
      </c>
      <c r="M24" s="26">
        <v>1</v>
      </c>
      <c r="N24" s="27">
        <f t="shared" si="0"/>
        <v>20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workbookViewId="0">
      <selection activeCell="D10" sqref="D10"/>
    </sheetView>
  </sheetViews>
  <sheetFormatPr defaultRowHeight="13.8"/>
  <cols>
    <col min="1" max="5" width="14" customWidth="1"/>
    <col min="6" max="6" width="16" customWidth="1"/>
    <col min="7" max="7" width="20" customWidth="1"/>
    <col min="8" max="8" width="54" customWidth="1"/>
  </cols>
  <sheetData>
    <row r="1" spans="1:8" ht="34.049999999999997" customHeight="1">
      <c r="A1" s="42" t="s">
        <v>848</v>
      </c>
      <c r="B1" s="42" t="s">
        <v>848</v>
      </c>
      <c r="C1" s="42" t="s">
        <v>848</v>
      </c>
      <c r="D1" s="42" t="s">
        <v>848</v>
      </c>
      <c r="E1" s="42" t="s">
        <v>848</v>
      </c>
      <c r="F1" s="42" t="s">
        <v>848</v>
      </c>
      <c r="G1" s="42" t="s">
        <v>848</v>
      </c>
      <c r="H1" s="42" t="s">
        <v>848</v>
      </c>
    </row>
    <row r="2" spans="1:8" ht="25.95" customHeight="1">
      <c r="A2" s="43" t="s">
        <v>849</v>
      </c>
      <c r="B2" s="43" t="s">
        <v>849</v>
      </c>
      <c r="C2" s="43" t="s">
        <v>849</v>
      </c>
      <c r="D2" s="43" t="s">
        <v>849</v>
      </c>
      <c r="E2" s="43" t="s">
        <v>849</v>
      </c>
      <c r="F2" s="43" t="s">
        <v>849</v>
      </c>
      <c r="G2" s="43" t="s">
        <v>849</v>
      </c>
      <c r="H2" s="43" t="s">
        <v>849</v>
      </c>
    </row>
    <row r="4" spans="1:8" ht="28.05" customHeight="1">
      <c r="A4" s="16" t="s">
        <v>779</v>
      </c>
      <c r="B4" s="17" t="s">
        <v>850</v>
      </c>
      <c r="C4" s="17" t="s">
        <v>851</v>
      </c>
      <c r="D4" s="17" t="s">
        <v>852</v>
      </c>
      <c r="E4" s="17" t="s">
        <v>853</v>
      </c>
      <c r="F4" s="17" t="s">
        <v>854</v>
      </c>
      <c r="G4" s="17" t="s">
        <v>855</v>
      </c>
      <c r="H4" s="18" t="s">
        <v>856</v>
      </c>
    </row>
    <row r="5" spans="1:8" ht="42" customHeight="1">
      <c r="A5" s="4" t="s">
        <v>793</v>
      </c>
      <c r="B5" s="5">
        <v>6</v>
      </c>
      <c r="C5" s="5">
        <v>10</v>
      </c>
      <c r="D5" s="5">
        <v>2</v>
      </c>
      <c r="E5" s="5">
        <v>30</v>
      </c>
      <c r="F5" s="5">
        <f>B5*D5*E5</f>
        <v>360</v>
      </c>
      <c r="G5" s="5">
        <f>C5*D5*E5</f>
        <v>600</v>
      </c>
      <c r="H5" s="6" t="s">
        <v>857</v>
      </c>
    </row>
    <row r="6" spans="1:8" ht="42" customHeight="1">
      <c r="A6" s="7" t="s">
        <v>801</v>
      </c>
      <c r="B6" s="8">
        <v>6</v>
      </c>
      <c r="C6" s="8">
        <v>10</v>
      </c>
      <c r="D6" s="8">
        <v>2</v>
      </c>
      <c r="E6" s="8">
        <v>30</v>
      </c>
      <c r="F6" s="8">
        <f>B6*D6*E6</f>
        <v>360</v>
      </c>
      <c r="G6" s="8">
        <f>C6*D6*E6</f>
        <v>600</v>
      </c>
      <c r="H6" s="9" t="s">
        <v>857</v>
      </c>
    </row>
    <row r="7" spans="1:8" ht="42" customHeight="1">
      <c r="A7" s="7" t="s">
        <v>803</v>
      </c>
      <c r="B7" s="8">
        <v>6</v>
      </c>
      <c r="C7" s="8">
        <v>10</v>
      </c>
      <c r="D7" s="8">
        <v>2</v>
      </c>
      <c r="E7" s="8">
        <v>30</v>
      </c>
      <c r="F7" s="8">
        <f>B7*D7*E7</f>
        <v>360</v>
      </c>
      <c r="G7" s="8">
        <f>C7*D7*E7</f>
        <v>600</v>
      </c>
      <c r="H7" s="9" t="s">
        <v>857</v>
      </c>
    </row>
    <row r="8" spans="1:8" ht="42" customHeight="1">
      <c r="A8" s="7" t="s">
        <v>805</v>
      </c>
      <c r="B8" s="8">
        <v>6</v>
      </c>
      <c r="C8" s="8">
        <v>10</v>
      </c>
      <c r="D8" s="8">
        <v>2</v>
      </c>
      <c r="E8" s="8">
        <v>30</v>
      </c>
      <c r="F8" s="8">
        <f>B8*D8*E8</f>
        <v>360</v>
      </c>
      <c r="G8" s="8">
        <f>C8*D8*E8</f>
        <v>600</v>
      </c>
      <c r="H8" s="9" t="s">
        <v>857</v>
      </c>
    </row>
    <row r="9" spans="1:8" ht="42" customHeight="1">
      <c r="A9" s="7" t="s">
        <v>807</v>
      </c>
      <c r="B9" s="8">
        <v>6</v>
      </c>
      <c r="C9" s="8">
        <v>10</v>
      </c>
      <c r="D9" s="8">
        <v>2</v>
      </c>
      <c r="E9" s="8">
        <v>30</v>
      </c>
      <c r="F9" s="8">
        <f>B9*D9*E9</f>
        <v>360</v>
      </c>
      <c r="G9" s="8">
        <f>C9*D9*E9</f>
        <v>600</v>
      </c>
      <c r="H9" s="9" t="s">
        <v>857</v>
      </c>
    </row>
    <row r="10" spans="1:8">
      <c r="A10" s="28" t="s">
        <v>858</v>
      </c>
      <c r="B10" s="29">
        <f>SUM(B5:B9)</f>
        <v>30</v>
      </c>
      <c r="C10" s="29">
        <f>SUM(C5:C9)</f>
        <v>50</v>
      </c>
      <c r="D10" s="29"/>
      <c r="E10" s="29"/>
      <c r="F10" s="29">
        <f>SUM(F5:F9)</f>
        <v>1800</v>
      </c>
      <c r="G10" s="29">
        <f>SUM(G5:G9)</f>
        <v>3000</v>
      </c>
      <c r="H10" s="30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showGridLines="0" workbookViewId="0">
      <selection activeCell="E13" sqref="E13"/>
    </sheetView>
  </sheetViews>
  <sheetFormatPr defaultRowHeight="13.8"/>
  <cols>
    <col min="1" max="1" width="12" customWidth="1"/>
    <col min="2" max="2" width="18" customWidth="1"/>
    <col min="3" max="3" width="25" customWidth="1"/>
    <col min="4" max="4" width="22" customWidth="1"/>
    <col min="5" max="5" width="28" customWidth="1"/>
    <col min="6" max="6" width="10" customWidth="1"/>
    <col min="7" max="7" width="22" customWidth="1"/>
    <col min="8" max="8" width="34" customWidth="1"/>
  </cols>
  <sheetData>
    <row r="1" spans="1:8" ht="34.049999999999997" customHeight="1">
      <c r="A1" s="42" t="s">
        <v>859</v>
      </c>
      <c r="B1" s="42" t="s">
        <v>859</v>
      </c>
      <c r="C1" s="42" t="s">
        <v>859</v>
      </c>
      <c r="D1" s="42" t="s">
        <v>859</v>
      </c>
      <c r="E1" s="42" t="s">
        <v>859</v>
      </c>
      <c r="F1" s="42" t="s">
        <v>859</v>
      </c>
      <c r="G1" s="42" t="s">
        <v>859</v>
      </c>
      <c r="H1" s="42" t="s">
        <v>859</v>
      </c>
    </row>
    <row r="2" spans="1:8" ht="25.95" customHeight="1">
      <c r="A2" s="43" t="s">
        <v>860</v>
      </c>
      <c r="B2" s="43" t="s">
        <v>860</v>
      </c>
      <c r="C2" s="43" t="s">
        <v>860</v>
      </c>
      <c r="D2" s="43" t="s">
        <v>860</v>
      </c>
      <c r="E2" s="43" t="s">
        <v>860</v>
      </c>
      <c r="F2" s="43" t="s">
        <v>860</v>
      </c>
      <c r="G2" s="43" t="s">
        <v>860</v>
      </c>
      <c r="H2" s="43" t="s">
        <v>860</v>
      </c>
    </row>
    <row r="4" spans="1:8" ht="28.05" customHeight="1">
      <c r="A4" s="16" t="s">
        <v>861</v>
      </c>
      <c r="B4" s="17" t="s">
        <v>862</v>
      </c>
      <c r="C4" s="17" t="s">
        <v>863</v>
      </c>
      <c r="D4" s="17" t="s">
        <v>864</v>
      </c>
      <c r="E4" s="17" t="s">
        <v>865</v>
      </c>
      <c r="F4" s="17" t="s">
        <v>7</v>
      </c>
      <c r="G4" s="17" t="s">
        <v>866</v>
      </c>
      <c r="H4" s="18" t="s">
        <v>52</v>
      </c>
    </row>
    <row r="5" spans="1:8" ht="36" customHeight="1">
      <c r="A5" s="4" t="s">
        <v>867</v>
      </c>
      <c r="B5" s="5" t="s">
        <v>868</v>
      </c>
      <c r="C5" s="5" t="s">
        <v>869</v>
      </c>
      <c r="D5" s="5" t="s">
        <v>870</v>
      </c>
      <c r="E5" s="5" t="s">
        <v>871</v>
      </c>
      <c r="F5" s="5">
        <v>1</v>
      </c>
      <c r="G5" s="5" t="s">
        <v>872</v>
      </c>
      <c r="H5" s="6" t="s">
        <v>873</v>
      </c>
    </row>
    <row r="6" spans="1:8" ht="36" customHeight="1">
      <c r="A6" s="7" t="s">
        <v>874</v>
      </c>
      <c r="B6" s="8" t="s">
        <v>868</v>
      </c>
      <c r="C6" s="8" t="s">
        <v>875</v>
      </c>
      <c r="D6" s="8" t="s">
        <v>876</v>
      </c>
      <c r="E6" s="8" t="s">
        <v>877</v>
      </c>
      <c r="F6" s="8">
        <v>1</v>
      </c>
      <c r="G6" s="8" t="s">
        <v>872</v>
      </c>
      <c r="H6" s="9" t="s">
        <v>873</v>
      </c>
    </row>
    <row r="7" spans="1:8" ht="36" customHeight="1">
      <c r="A7" s="7" t="s">
        <v>878</v>
      </c>
      <c r="B7" s="8" t="s">
        <v>868</v>
      </c>
      <c r="C7" s="8" t="s">
        <v>879</v>
      </c>
      <c r="D7" s="8" t="s">
        <v>880</v>
      </c>
      <c r="E7" s="8" t="s">
        <v>881</v>
      </c>
      <c r="F7" s="8">
        <v>1</v>
      </c>
      <c r="G7" s="8" t="s">
        <v>872</v>
      </c>
      <c r="H7" s="9" t="s">
        <v>873</v>
      </c>
    </row>
    <row r="8" spans="1:8" ht="36" customHeight="1">
      <c r="A8" s="7" t="s">
        <v>882</v>
      </c>
      <c r="B8" s="8" t="s">
        <v>868</v>
      </c>
      <c r="C8" s="8" t="s">
        <v>883</v>
      </c>
      <c r="D8" s="8" t="s">
        <v>884</v>
      </c>
      <c r="E8" s="8" t="s">
        <v>885</v>
      </c>
      <c r="F8" s="8">
        <v>1</v>
      </c>
      <c r="G8" s="8" t="s">
        <v>872</v>
      </c>
      <c r="H8" s="9" t="s">
        <v>873</v>
      </c>
    </row>
    <row r="9" spans="1:8" ht="36" customHeight="1">
      <c r="A9" s="7" t="s">
        <v>886</v>
      </c>
      <c r="B9" s="8" t="s">
        <v>868</v>
      </c>
      <c r="C9" s="8" t="s">
        <v>887</v>
      </c>
      <c r="D9" s="8" t="s">
        <v>888</v>
      </c>
      <c r="E9" s="8" t="s">
        <v>889</v>
      </c>
      <c r="F9" s="8">
        <v>1</v>
      </c>
      <c r="G9" s="8" t="s">
        <v>890</v>
      </c>
      <c r="H9" s="9" t="s">
        <v>891</v>
      </c>
    </row>
    <row r="10" spans="1:8" ht="36" customHeight="1">
      <c r="A10" s="7" t="s">
        <v>892</v>
      </c>
      <c r="B10" s="8" t="s">
        <v>893</v>
      </c>
      <c r="C10" s="8" t="s">
        <v>894</v>
      </c>
      <c r="D10" s="8" t="s">
        <v>895</v>
      </c>
      <c r="E10" s="8" t="s">
        <v>794</v>
      </c>
      <c r="F10" s="8">
        <v>1</v>
      </c>
      <c r="G10" s="8" t="s">
        <v>896</v>
      </c>
      <c r="H10" s="9" t="s">
        <v>897</v>
      </c>
    </row>
    <row r="11" spans="1:8" ht="36" customHeight="1">
      <c r="A11" s="7" t="s">
        <v>898</v>
      </c>
      <c r="B11" s="8" t="s">
        <v>893</v>
      </c>
      <c r="C11" s="8" t="s">
        <v>894</v>
      </c>
      <c r="D11" s="8" t="s">
        <v>899</v>
      </c>
      <c r="E11" s="8" t="s">
        <v>900</v>
      </c>
      <c r="F11" s="8">
        <v>1</v>
      </c>
      <c r="G11" s="8" t="s">
        <v>896</v>
      </c>
      <c r="H11" s="9" t="s">
        <v>897</v>
      </c>
    </row>
    <row r="12" spans="1:8" ht="36" customHeight="1">
      <c r="A12" s="7" t="s">
        <v>901</v>
      </c>
      <c r="B12" s="8" t="s">
        <v>893</v>
      </c>
      <c r="C12" s="8" t="s">
        <v>894</v>
      </c>
      <c r="D12" s="8" t="s">
        <v>902</v>
      </c>
      <c r="E12" s="8" t="s">
        <v>903</v>
      </c>
      <c r="F12" s="8">
        <v>1</v>
      </c>
      <c r="G12" s="8" t="s">
        <v>904</v>
      </c>
      <c r="H12" s="9"/>
    </row>
    <row r="13" spans="1:8" ht="36" customHeight="1">
      <c r="A13" s="7" t="s">
        <v>905</v>
      </c>
      <c r="B13" s="8" t="s">
        <v>893</v>
      </c>
      <c r="C13" s="8" t="s">
        <v>894</v>
      </c>
      <c r="D13" s="8" t="s">
        <v>906</v>
      </c>
      <c r="E13" s="8" t="s">
        <v>903</v>
      </c>
      <c r="F13" s="8">
        <v>1</v>
      </c>
      <c r="G13" s="8" t="s">
        <v>904</v>
      </c>
      <c r="H13" s="9"/>
    </row>
    <row r="14" spans="1:8" ht="36" customHeight="1">
      <c r="A14" s="10" t="s">
        <v>907</v>
      </c>
      <c r="B14" s="11" t="s">
        <v>893</v>
      </c>
      <c r="C14" s="11" t="s">
        <v>894</v>
      </c>
      <c r="D14" s="11" t="s">
        <v>908</v>
      </c>
      <c r="E14" s="11" t="s">
        <v>903</v>
      </c>
      <c r="F14" s="11">
        <v>1</v>
      </c>
      <c r="G14" s="11" t="s">
        <v>904</v>
      </c>
      <c r="H14" s="12"/>
    </row>
  </sheetData>
  <mergeCells count="2">
    <mergeCell ref="A1:H1"/>
    <mergeCell ref="A2:H2"/>
  </mergeCells>
  <dataValidations count="1">
    <dataValidation type="list" sqref="G5:G14" xr:uid="{00000000-0002-0000-0400-000000000000}">
      <formula1>"Planned,Available,Available: emulator,In Test,Blocked,Retired,Required,Recommended"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4"/>
  <sheetViews>
    <sheetView showGridLines="0" workbookViewId="0">
      <selection sqref="A1:H1"/>
    </sheetView>
  </sheetViews>
  <sheetFormatPr defaultRowHeight="13.8"/>
  <cols>
    <col min="1" max="2" width="13" customWidth="1"/>
    <col min="3" max="3" width="11" customWidth="1"/>
    <col min="4" max="4" width="12" customWidth="1"/>
    <col min="5" max="5" width="13" customWidth="1"/>
    <col min="6" max="6" width="12" customWidth="1"/>
    <col min="7" max="7" width="16" customWidth="1"/>
    <col min="8" max="8" width="8" customWidth="1"/>
    <col min="9" max="9" width="13" customWidth="1"/>
    <col min="10" max="10" width="11" customWidth="1"/>
    <col min="11" max="11" width="15" customWidth="1"/>
    <col min="12" max="12" width="32" customWidth="1"/>
    <col min="13" max="13" width="30" customWidth="1"/>
    <col min="14" max="14" width="12" customWidth="1"/>
    <col min="15" max="15" width="13" customWidth="1"/>
    <col min="16" max="16" width="20" customWidth="1"/>
    <col min="17" max="17" width="13" customWidth="1"/>
    <col min="18" max="18" width="16" customWidth="1"/>
  </cols>
  <sheetData>
    <row r="1" spans="1:18" ht="34.049999999999997" customHeight="1">
      <c r="A1" s="42" t="s">
        <v>909</v>
      </c>
      <c r="B1" s="42" t="s">
        <v>909</v>
      </c>
      <c r="C1" s="42" t="s">
        <v>909</v>
      </c>
      <c r="D1" s="42" t="s">
        <v>909</v>
      </c>
      <c r="E1" s="42" t="s">
        <v>909</v>
      </c>
      <c r="F1" s="42" t="s">
        <v>909</v>
      </c>
      <c r="G1" s="42" t="s">
        <v>909</v>
      </c>
      <c r="H1" s="42" t="s">
        <v>909</v>
      </c>
    </row>
    <row r="2" spans="1:18" ht="25.95" customHeight="1">
      <c r="A2" s="43" t="s">
        <v>910</v>
      </c>
      <c r="B2" s="43" t="s">
        <v>910</v>
      </c>
      <c r="C2" s="43" t="s">
        <v>910</v>
      </c>
      <c r="D2" s="43" t="s">
        <v>910</v>
      </c>
      <c r="E2" s="43" t="s">
        <v>910</v>
      </c>
      <c r="F2" s="43" t="s">
        <v>910</v>
      </c>
      <c r="G2" s="43" t="s">
        <v>910</v>
      </c>
      <c r="H2" s="43" t="s">
        <v>910</v>
      </c>
    </row>
    <row r="4" spans="1:18" ht="28.05" customHeight="1">
      <c r="A4" s="1" t="s">
        <v>911</v>
      </c>
      <c r="B4" s="2" t="s">
        <v>912</v>
      </c>
      <c r="C4" s="2" t="s">
        <v>36</v>
      </c>
      <c r="D4" s="2" t="s">
        <v>778</v>
      </c>
      <c r="E4" s="2" t="s">
        <v>913</v>
      </c>
      <c r="F4" s="2" t="s">
        <v>914</v>
      </c>
      <c r="G4" s="2" t="s">
        <v>915</v>
      </c>
      <c r="H4" s="2" t="s">
        <v>232</v>
      </c>
      <c r="I4" s="2" t="s">
        <v>648</v>
      </c>
      <c r="J4" s="2" t="s">
        <v>783</v>
      </c>
      <c r="K4" s="2" t="s">
        <v>784</v>
      </c>
      <c r="L4" s="2" t="s">
        <v>916</v>
      </c>
      <c r="M4" s="2" t="s">
        <v>917</v>
      </c>
      <c r="N4" s="2" t="s">
        <v>918</v>
      </c>
      <c r="O4" s="2" t="s">
        <v>919</v>
      </c>
      <c r="P4" s="2" t="s">
        <v>50</v>
      </c>
      <c r="Q4" s="2" t="s">
        <v>51</v>
      </c>
      <c r="R4" s="3" t="s">
        <v>920</v>
      </c>
    </row>
    <row r="5" spans="1:18" ht="30" customHeight="1">
      <c r="A5" s="4" t="s">
        <v>921</v>
      </c>
      <c r="B5" s="31"/>
      <c r="C5" s="5"/>
      <c r="D5" s="5"/>
      <c r="E5" s="5"/>
      <c r="F5" s="5"/>
      <c r="G5" s="5"/>
      <c r="H5" s="13"/>
      <c r="I5" s="13"/>
      <c r="J5" s="13"/>
      <c r="K5" s="5"/>
      <c r="L5" s="5"/>
      <c r="M5" s="5"/>
      <c r="N5" s="5" t="s">
        <v>12</v>
      </c>
      <c r="O5" s="22"/>
      <c r="P5" s="5"/>
      <c r="Q5" s="5"/>
      <c r="R5" s="6"/>
    </row>
    <row r="6" spans="1:18" ht="30" customHeight="1">
      <c r="A6" s="7" t="s">
        <v>922</v>
      </c>
      <c r="B6" s="32"/>
      <c r="C6" s="8"/>
      <c r="D6" s="8"/>
      <c r="E6" s="8"/>
      <c r="F6" s="8"/>
      <c r="G6" s="8"/>
      <c r="H6" s="14"/>
      <c r="I6" s="14"/>
      <c r="J6" s="14"/>
      <c r="K6" s="8"/>
      <c r="L6" s="8"/>
      <c r="M6" s="8"/>
      <c r="N6" s="8" t="s">
        <v>12</v>
      </c>
      <c r="O6" s="24"/>
      <c r="P6" s="8"/>
      <c r="Q6" s="8"/>
      <c r="R6" s="9"/>
    </row>
    <row r="7" spans="1:18" ht="30" customHeight="1">
      <c r="A7" s="7" t="s">
        <v>923</v>
      </c>
      <c r="B7" s="32"/>
      <c r="C7" s="8"/>
      <c r="D7" s="8"/>
      <c r="E7" s="8"/>
      <c r="F7" s="8"/>
      <c r="G7" s="8"/>
      <c r="H7" s="14"/>
      <c r="I7" s="14"/>
      <c r="J7" s="14"/>
      <c r="K7" s="8"/>
      <c r="L7" s="8"/>
      <c r="M7" s="8"/>
      <c r="N7" s="8" t="s">
        <v>12</v>
      </c>
      <c r="O7" s="24"/>
      <c r="P7" s="8"/>
      <c r="Q7" s="8"/>
      <c r="R7" s="9"/>
    </row>
    <row r="8" spans="1:18" ht="30" customHeight="1">
      <c r="A8" s="7" t="s">
        <v>924</v>
      </c>
      <c r="B8" s="32"/>
      <c r="C8" s="8"/>
      <c r="D8" s="8"/>
      <c r="E8" s="8"/>
      <c r="F8" s="8"/>
      <c r="G8" s="8"/>
      <c r="H8" s="14"/>
      <c r="I8" s="14"/>
      <c r="J8" s="14"/>
      <c r="K8" s="8"/>
      <c r="L8" s="8"/>
      <c r="M8" s="8"/>
      <c r="N8" s="8" t="s">
        <v>12</v>
      </c>
      <c r="O8" s="24"/>
      <c r="P8" s="8"/>
      <c r="Q8" s="8"/>
      <c r="R8" s="9"/>
    </row>
    <row r="9" spans="1:18" ht="30" customHeight="1">
      <c r="A9" s="7" t="s">
        <v>925</v>
      </c>
      <c r="B9" s="32"/>
      <c r="C9" s="8"/>
      <c r="D9" s="8"/>
      <c r="E9" s="8"/>
      <c r="F9" s="8"/>
      <c r="G9" s="8"/>
      <c r="H9" s="14"/>
      <c r="I9" s="14"/>
      <c r="J9" s="14"/>
      <c r="K9" s="8"/>
      <c r="L9" s="8"/>
      <c r="M9" s="8"/>
      <c r="N9" s="8" t="s">
        <v>12</v>
      </c>
      <c r="O9" s="24"/>
      <c r="P9" s="8"/>
      <c r="Q9" s="8"/>
      <c r="R9" s="9"/>
    </row>
    <row r="10" spans="1:18" ht="30" customHeight="1">
      <c r="A10" s="7" t="s">
        <v>926</v>
      </c>
      <c r="B10" s="32"/>
      <c r="C10" s="8"/>
      <c r="D10" s="8"/>
      <c r="E10" s="8"/>
      <c r="F10" s="8"/>
      <c r="G10" s="8"/>
      <c r="H10" s="14"/>
      <c r="I10" s="14"/>
      <c r="J10" s="14"/>
      <c r="K10" s="8"/>
      <c r="L10" s="8"/>
      <c r="M10" s="8"/>
      <c r="N10" s="8" t="s">
        <v>12</v>
      </c>
      <c r="O10" s="24"/>
      <c r="P10" s="8"/>
      <c r="Q10" s="8"/>
      <c r="R10" s="9"/>
    </row>
    <row r="11" spans="1:18" ht="30" customHeight="1">
      <c r="A11" s="7" t="s">
        <v>927</v>
      </c>
      <c r="B11" s="32"/>
      <c r="C11" s="8"/>
      <c r="D11" s="8"/>
      <c r="E11" s="8"/>
      <c r="F11" s="8"/>
      <c r="G11" s="8"/>
      <c r="H11" s="14"/>
      <c r="I11" s="14"/>
      <c r="J11" s="14"/>
      <c r="K11" s="8"/>
      <c r="L11" s="8"/>
      <c r="M11" s="8"/>
      <c r="N11" s="8" t="s">
        <v>12</v>
      </c>
      <c r="O11" s="24"/>
      <c r="P11" s="8"/>
      <c r="Q11" s="8"/>
      <c r="R11" s="9"/>
    </row>
    <row r="12" spans="1:18" ht="30" customHeight="1">
      <c r="A12" s="7" t="s">
        <v>928</v>
      </c>
      <c r="B12" s="32"/>
      <c r="C12" s="8"/>
      <c r="D12" s="8"/>
      <c r="E12" s="8"/>
      <c r="F12" s="8"/>
      <c r="G12" s="8"/>
      <c r="H12" s="14"/>
      <c r="I12" s="14"/>
      <c r="J12" s="14"/>
      <c r="K12" s="8"/>
      <c r="L12" s="8"/>
      <c r="M12" s="8"/>
      <c r="N12" s="8" t="s">
        <v>12</v>
      </c>
      <c r="O12" s="24"/>
      <c r="P12" s="8"/>
      <c r="Q12" s="8"/>
      <c r="R12" s="9"/>
    </row>
    <row r="13" spans="1:18" ht="30" customHeight="1">
      <c r="A13" s="7" t="s">
        <v>929</v>
      </c>
      <c r="B13" s="32"/>
      <c r="C13" s="8"/>
      <c r="D13" s="8"/>
      <c r="E13" s="8"/>
      <c r="F13" s="8"/>
      <c r="G13" s="8"/>
      <c r="H13" s="14"/>
      <c r="I13" s="14"/>
      <c r="J13" s="14"/>
      <c r="K13" s="8"/>
      <c r="L13" s="8"/>
      <c r="M13" s="8"/>
      <c r="N13" s="8" t="s">
        <v>12</v>
      </c>
      <c r="O13" s="24"/>
      <c r="P13" s="8"/>
      <c r="Q13" s="8"/>
      <c r="R13" s="9"/>
    </row>
    <row r="14" spans="1:18" ht="30" customHeight="1">
      <c r="A14" s="7" t="s">
        <v>930</v>
      </c>
      <c r="B14" s="32"/>
      <c r="C14" s="8"/>
      <c r="D14" s="8"/>
      <c r="E14" s="8"/>
      <c r="F14" s="8"/>
      <c r="G14" s="8"/>
      <c r="H14" s="14"/>
      <c r="I14" s="14"/>
      <c r="J14" s="14"/>
      <c r="K14" s="8"/>
      <c r="L14" s="8"/>
      <c r="M14" s="8"/>
      <c r="N14" s="8" t="s">
        <v>12</v>
      </c>
      <c r="O14" s="24"/>
      <c r="P14" s="8"/>
      <c r="Q14" s="8"/>
      <c r="R14" s="9"/>
    </row>
    <row r="15" spans="1:18" ht="30" customHeight="1">
      <c r="A15" s="7" t="s">
        <v>931</v>
      </c>
      <c r="B15" s="32"/>
      <c r="C15" s="8"/>
      <c r="D15" s="8"/>
      <c r="E15" s="8"/>
      <c r="F15" s="8"/>
      <c r="G15" s="8"/>
      <c r="H15" s="14"/>
      <c r="I15" s="14"/>
      <c r="J15" s="14"/>
      <c r="K15" s="8"/>
      <c r="L15" s="8"/>
      <c r="M15" s="8"/>
      <c r="N15" s="8" t="s">
        <v>12</v>
      </c>
      <c r="O15" s="24"/>
      <c r="P15" s="8"/>
      <c r="Q15" s="8"/>
      <c r="R15" s="9"/>
    </row>
    <row r="16" spans="1:18" ht="30" customHeight="1">
      <c r="A16" s="7" t="s">
        <v>932</v>
      </c>
      <c r="B16" s="32"/>
      <c r="C16" s="8"/>
      <c r="D16" s="8"/>
      <c r="E16" s="8"/>
      <c r="F16" s="8"/>
      <c r="G16" s="8"/>
      <c r="H16" s="14"/>
      <c r="I16" s="14"/>
      <c r="J16" s="14"/>
      <c r="K16" s="8"/>
      <c r="L16" s="8"/>
      <c r="M16" s="8"/>
      <c r="N16" s="8" t="s">
        <v>12</v>
      </c>
      <c r="O16" s="24"/>
      <c r="P16" s="8"/>
      <c r="Q16" s="8"/>
      <c r="R16" s="9"/>
    </row>
    <row r="17" spans="1:18" ht="30" customHeight="1">
      <c r="A17" s="7" t="s">
        <v>933</v>
      </c>
      <c r="B17" s="32"/>
      <c r="C17" s="8"/>
      <c r="D17" s="8"/>
      <c r="E17" s="8"/>
      <c r="F17" s="8"/>
      <c r="G17" s="8"/>
      <c r="H17" s="14"/>
      <c r="I17" s="14"/>
      <c r="J17" s="14"/>
      <c r="K17" s="8"/>
      <c r="L17" s="8"/>
      <c r="M17" s="8"/>
      <c r="N17" s="8" t="s">
        <v>12</v>
      </c>
      <c r="O17" s="24"/>
      <c r="P17" s="8"/>
      <c r="Q17" s="8"/>
      <c r="R17" s="9"/>
    </row>
    <row r="18" spans="1:18" ht="30" customHeight="1">
      <c r="A18" s="7" t="s">
        <v>934</v>
      </c>
      <c r="B18" s="32"/>
      <c r="C18" s="8"/>
      <c r="D18" s="8"/>
      <c r="E18" s="8"/>
      <c r="F18" s="8"/>
      <c r="G18" s="8"/>
      <c r="H18" s="14"/>
      <c r="I18" s="14"/>
      <c r="J18" s="14"/>
      <c r="K18" s="8"/>
      <c r="L18" s="8"/>
      <c r="M18" s="8"/>
      <c r="N18" s="8" t="s">
        <v>12</v>
      </c>
      <c r="O18" s="24"/>
      <c r="P18" s="8"/>
      <c r="Q18" s="8"/>
      <c r="R18" s="9"/>
    </row>
    <row r="19" spans="1:18" ht="30" customHeight="1">
      <c r="A19" s="7" t="s">
        <v>935</v>
      </c>
      <c r="B19" s="32"/>
      <c r="C19" s="8"/>
      <c r="D19" s="8"/>
      <c r="E19" s="8"/>
      <c r="F19" s="8"/>
      <c r="G19" s="8"/>
      <c r="H19" s="14"/>
      <c r="I19" s="14"/>
      <c r="J19" s="14"/>
      <c r="K19" s="8"/>
      <c r="L19" s="8"/>
      <c r="M19" s="8"/>
      <c r="N19" s="8" t="s">
        <v>12</v>
      </c>
      <c r="O19" s="24"/>
      <c r="P19" s="8"/>
      <c r="Q19" s="8"/>
      <c r="R19" s="9"/>
    </row>
    <row r="20" spans="1:18" ht="30" customHeight="1">
      <c r="A20" s="7" t="s">
        <v>936</v>
      </c>
      <c r="B20" s="32"/>
      <c r="C20" s="8"/>
      <c r="D20" s="8"/>
      <c r="E20" s="8"/>
      <c r="F20" s="8"/>
      <c r="G20" s="8"/>
      <c r="H20" s="14"/>
      <c r="I20" s="14"/>
      <c r="J20" s="14"/>
      <c r="K20" s="8"/>
      <c r="L20" s="8"/>
      <c r="M20" s="8"/>
      <c r="N20" s="8" t="s">
        <v>12</v>
      </c>
      <c r="O20" s="24"/>
      <c r="P20" s="8"/>
      <c r="Q20" s="8"/>
      <c r="R20" s="9"/>
    </row>
    <row r="21" spans="1:18" ht="30" customHeight="1">
      <c r="A21" s="7" t="s">
        <v>937</v>
      </c>
      <c r="B21" s="32"/>
      <c r="C21" s="8"/>
      <c r="D21" s="8"/>
      <c r="E21" s="8"/>
      <c r="F21" s="8"/>
      <c r="G21" s="8"/>
      <c r="H21" s="14"/>
      <c r="I21" s="14"/>
      <c r="J21" s="14"/>
      <c r="K21" s="8"/>
      <c r="L21" s="8"/>
      <c r="M21" s="8"/>
      <c r="N21" s="8" t="s">
        <v>12</v>
      </c>
      <c r="O21" s="24"/>
      <c r="P21" s="8"/>
      <c r="Q21" s="8"/>
      <c r="R21" s="9"/>
    </row>
    <row r="22" spans="1:18" ht="30" customHeight="1">
      <c r="A22" s="7" t="s">
        <v>938</v>
      </c>
      <c r="B22" s="32"/>
      <c r="C22" s="8"/>
      <c r="D22" s="8"/>
      <c r="E22" s="8"/>
      <c r="F22" s="8"/>
      <c r="G22" s="8"/>
      <c r="H22" s="14"/>
      <c r="I22" s="14"/>
      <c r="J22" s="14"/>
      <c r="K22" s="8"/>
      <c r="L22" s="8"/>
      <c r="M22" s="8"/>
      <c r="N22" s="8" t="s">
        <v>12</v>
      </c>
      <c r="O22" s="24"/>
      <c r="P22" s="8"/>
      <c r="Q22" s="8"/>
      <c r="R22" s="9"/>
    </row>
    <row r="23" spans="1:18" ht="30" customHeight="1">
      <c r="A23" s="7" t="s">
        <v>939</v>
      </c>
      <c r="B23" s="32"/>
      <c r="C23" s="8"/>
      <c r="D23" s="8"/>
      <c r="E23" s="8"/>
      <c r="F23" s="8"/>
      <c r="G23" s="8"/>
      <c r="H23" s="14"/>
      <c r="I23" s="14"/>
      <c r="J23" s="14"/>
      <c r="K23" s="8"/>
      <c r="L23" s="8"/>
      <c r="M23" s="8"/>
      <c r="N23" s="8" t="s">
        <v>12</v>
      </c>
      <c r="O23" s="24"/>
      <c r="P23" s="8"/>
      <c r="Q23" s="8"/>
      <c r="R23" s="9"/>
    </row>
    <row r="24" spans="1:18" ht="30" customHeight="1">
      <c r="A24" s="7" t="s">
        <v>940</v>
      </c>
      <c r="B24" s="32"/>
      <c r="C24" s="8"/>
      <c r="D24" s="8"/>
      <c r="E24" s="8"/>
      <c r="F24" s="8"/>
      <c r="G24" s="8"/>
      <c r="H24" s="14"/>
      <c r="I24" s="14"/>
      <c r="J24" s="14"/>
      <c r="K24" s="8"/>
      <c r="L24" s="8"/>
      <c r="M24" s="8"/>
      <c r="N24" s="8" t="s">
        <v>12</v>
      </c>
      <c r="O24" s="24"/>
      <c r="P24" s="8"/>
      <c r="Q24" s="8"/>
      <c r="R24" s="9"/>
    </row>
    <row r="25" spans="1:18" ht="30" customHeight="1">
      <c r="A25" s="7" t="s">
        <v>941</v>
      </c>
      <c r="B25" s="32"/>
      <c r="C25" s="8"/>
      <c r="D25" s="8"/>
      <c r="E25" s="8"/>
      <c r="F25" s="8"/>
      <c r="G25" s="8"/>
      <c r="H25" s="14"/>
      <c r="I25" s="14"/>
      <c r="J25" s="14"/>
      <c r="K25" s="8"/>
      <c r="L25" s="8"/>
      <c r="M25" s="8"/>
      <c r="N25" s="8" t="s">
        <v>12</v>
      </c>
      <c r="O25" s="24"/>
      <c r="P25" s="8"/>
      <c r="Q25" s="8"/>
      <c r="R25" s="9"/>
    </row>
    <row r="26" spans="1:18" ht="30" customHeight="1">
      <c r="A26" s="7" t="s">
        <v>942</v>
      </c>
      <c r="B26" s="32"/>
      <c r="C26" s="8"/>
      <c r="D26" s="8"/>
      <c r="E26" s="8"/>
      <c r="F26" s="8"/>
      <c r="G26" s="8"/>
      <c r="H26" s="14"/>
      <c r="I26" s="14"/>
      <c r="J26" s="14"/>
      <c r="K26" s="8"/>
      <c r="L26" s="8"/>
      <c r="M26" s="8"/>
      <c r="N26" s="8" t="s">
        <v>12</v>
      </c>
      <c r="O26" s="24"/>
      <c r="P26" s="8"/>
      <c r="Q26" s="8"/>
      <c r="R26" s="9"/>
    </row>
    <row r="27" spans="1:18" ht="30" customHeight="1">
      <c r="A27" s="7" t="s">
        <v>943</v>
      </c>
      <c r="B27" s="32"/>
      <c r="C27" s="8"/>
      <c r="D27" s="8"/>
      <c r="E27" s="8"/>
      <c r="F27" s="8"/>
      <c r="G27" s="8"/>
      <c r="H27" s="14"/>
      <c r="I27" s="14"/>
      <c r="J27" s="14"/>
      <c r="K27" s="8"/>
      <c r="L27" s="8"/>
      <c r="M27" s="8"/>
      <c r="N27" s="8" t="s">
        <v>12</v>
      </c>
      <c r="O27" s="24"/>
      <c r="P27" s="8"/>
      <c r="Q27" s="8"/>
      <c r="R27" s="9"/>
    </row>
    <row r="28" spans="1:18" ht="30" customHeight="1">
      <c r="A28" s="7" t="s">
        <v>944</v>
      </c>
      <c r="B28" s="32"/>
      <c r="C28" s="8"/>
      <c r="D28" s="8"/>
      <c r="E28" s="8"/>
      <c r="F28" s="8"/>
      <c r="G28" s="8"/>
      <c r="H28" s="14"/>
      <c r="I28" s="14"/>
      <c r="J28" s="14"/>
      <c r="K28" s="8"/>
      <c r="L28" s="8"/>
      <c r="M28" s="8"/>
      <c r="N28" s="8" t="s">
        <v>12</v>
      </c>
      <c r="O28" s="24"/>
      <c r="P28" s="8"/>
      <c r="Q28" s="8"/>
      <c r="R28" s="9"/>
    </row>
    <row r="29" spans="1:18" ht="30" customHeight="1">
      <c r="A29" s="7" t="s">
        <v>945</v>
      </c>
      <c r="B29" s="32"/>
      <c r="C29" s="8"/>
      <c r="D29" s="8"/>
      <c r="E29" s="8"/>
      <c r="F29" s="8"/>
      <c r="G29" s="8"/>
      <c r="H29" s="14"/>
      <c r="I29" s="14"/>
      <c r="J29" s="14"/>
      <c r="K29" s="8"/>
      <c r="L29" s="8"/>
      <c r="M29" s="8"/>
      <c r="N29" s="8" t="s">
        <v>12</v>
      </c>
      <c r="O29" s="24"/>
      <c r="P29" s="8"/>
      <c r="Q29" s="8"/>
      <c r="R29" s="9"/>
    </row>
    <row r="30" spans="1:18" ht="30" customHeight="1">
      <c r="A30" s="7" t="s">
        <v>946</v>
      </c>
      <c r="B30" s="32"/>
      <c r="C30" s="8"/>
      <c r="D30" s="8"/>
      <c r="E30" s="8"/>
      <c r="F30" s="8"/>
      <c r="G30" s="8"/>
      <c r="H30" s="14"/>
      <c r="I30" s="14"/>
      <c r="J30" s="14"/>
      <c r="K30" s="8"/>
      <c r="L30" s="8"/>
      <c r="M30" s="8"/>
      <c r="N30" s="8" t="s">
        <v>12</v>
      </c>
      <c r="O30" s="24"/>
      <c r="P30" s="8"/>
      <c r="Q30" s="8"/>
      <c r="R30" s="9"/>
    </row>
    <row r="31" spans="1:18" ht="30" customHeight="1">
      <c r="A31" s="7" t="s">
        <v>947</v>
      </c>
      <c r="B31" s="32"/>
      <c r="C31" s="8"/>
      <c r="D31" s="8"/>
      <c r="E31" s="8"/>
      <c r="F31" s="8"/>
      <c r="G31" s="8"/>
      <c r="H31" s="14"/>
      <c r="I31" s="14"/>
      <c r="J31" s="14"/>
      <c r="K31" s="8"/>
      <c r="L31" s="8"/>
      <c r="M31" s="8"/>
      <c r="N31" s="8" t="s">
        <v>12</v>
      </c>
      <c r="O31" s="24"/>
      <c r="P31" s="8"/>
      <c r="Q31" s="8"/>
      <c r="R31" s="9"/>
    </row>
    <row r="32" spans="1:18" ht="30" customHeight="1">
      <c r="A32" s="7" t="s">
        <v>948</v>
      </c>
      <c r="B32" s="32"/>
      <c r="C32" s="8"/>
      <c r="D32" s="8"/>
      <c r="E32" s="8"/>
      <c r="F32" s="8"/>
      <c r="G32" s="8"/>
      <c r="H32" s="14"/>
      <c r="I32" s="14"/>
      <c r="J32" s="14"/>
      <c r="K32" s="8"/>
      <c r="L32" s="8"/>
      <c r="M32" s="8"/>
      <c r="N32" s="8" t="s">
        <v>12</v>
      </c>
      <c r="O32" s="24"/>
      <c r="P32" s="8"/>
      <c r="Q32" s="8"/>
      <c r="R32" s="9"/>
    </row>
    <row r="33" spans="1:18" ht="30" customHeight="1">
      <c r="A33" s="7" t="s">
        <v>949</v>
      </c>
      <c r="B33" s="32"/>
      <c r="C33" s="8"/>
      <c r="D33" s="8"/>
      <c r="E33" s="8"/>
      <c r="F33" s="8"/>
      <c r="G33" s="8"/>
      <c r="H33" s="14"/>
      <c r="I33" s="14"/>
      <c r="J33" s="14"/>
      <c r="K33" s="8"/>
      <c r="L33" s="8"/>
      <c r="M33" s="8"/>
      <c r="N33" s="8" t="s">
        <v>12</v>
      </c>
      <c r="O33" s="24"/>
      <c r="P33" s="8"/>
      <c r="Q33" s="8"/>
      <c r="R33" s="9"/>
    </row>
    <row r="34" spans="1:18" ht="30" customHeight="1">
      <c r="A34" s="7" t="s">
        <v>950</v>
      </c>
      <c r="B34" s="32"/>
      <c r="C34" s="8"/>
      <c r="D34" s="8"/>
      <c r="E34" s="8"/>
      <c r="F34" s="8"/>
      <c r="G34" s="8"/>
      <c r="H34" s="14"/>
      <c r="I34" s="14"/>
      <c r="J34" s="14"/>
      <c r="K34" s="8"/>
      <c r="L34" s="8"/>
      <c r="M34" s="8"/>
      <c r="N34" s="8" t="s">
        <v>12</v>
      </c>
      <c r="O34" s="24"/>
      <c r="P34" s="8"/>
      <c r="Q34" s="8"/>
      <c r="R34" s="9"/>
    </row>
    <row r="35" spans="1:18" ht="30" customHeight="1">
      <c r="A35" s="7" t="s">
        <v>951</v>
      </c>
      <c r="B35" s="32"/>
      <c r="C35" s="8"/>
      <c r="D35" s="8"/>
      <c r="E35" s="8"/>
      <c r="F35" s="8"/>
      <c r="G35" s="8"/>
      <c r="H35" s="14"/>
      <c r="I35" s="14"/>
      <c r="J35" s="14"/>
      <c r="K35" s="8"/>
      <c r="L35" s="8"/>
      <c r="M35" s="8"/>
      <c r="N35" s="8" t="s">
        <v>12</v>
      </c>
      <c r="O35" s="24"/>
      <c r="P35" s="8"/>
      <c r="Q35" s="8"/>
      <c r="R35" s="9"/>
    </row>
    <row r="36" spans="1:18" ht="30" customHeight="1">
      <c r="A36" s="7" t="s">
        <v>952</v>
      </c>
      <c r="B36" s="32"/>
      <c r="C36" s="8"/>
      <c r="D36" s="8"/>
      <c r="E36" s="8"/>
      <c r="F36" s="8"/>
      <c r="G36" s="8"/>
      <c r="H36" s="14"/>
      <c r="I36" s="14"/>
      <c r="J36" s="14"/>
      <c r="K36" s="8"/>
      <c r="L36" s="8"/>
      <c r="M36" s="8"/>
      <c r="N36" s="8" t="s">
        <v>12</v>
      </c>
      <c r="O36" s="24"/>
      <c r="P36" s="8"/>
      <c r="Q36" s="8"/>
      <c r="R36" s="9"/>
    </row>
    <row r="37" spans="1:18" ht="30" customHeight="1">
      <c r="A37" s="7" t="s">
        <v>953</v>
      </c>
      <c r="B37" s="32"/>
      <c r="C37" s="8"/>
      <c r="D37" s="8"/>
      <c r="E37" s="8"/>
      <c r="F37" s="8"/>
      <c r="G37" s="8"/>
      <c r="H37" s="14"/>
      <c r="I37" s="14"/>
      <c r="J37" s="14"/>
      <c r="K37" s="8"/>
      <c r="L37" s="8"/>
      <c r="M37" s="8"/>
      <c r="N37" s="8" t="s">
        <v>12</v>
      </c>
      <c r="O37" s="24"/>
      <c r="P37" s="8"/>
      <c r="Q37" s="8"/>
      <c r="R37" s="9"/>
    </row>
    <row r="38" spans="1:18" ht="30" customHeight="1">
      <c r="A38" s="7" t="s">
        <v>954</v>
      </c>
      <c r="B38" s="32"/>
      <c r="C38" s="8"/>
      <c r="D38" s="8"/>
      <c r="E38" s="8"/>
      <c r="F38" s="8"/>
      <c r="G38" s="8"/>
      <c r="H38" s="14"/>
      <c r="I38" s="14"/>
      <c r="J38" s="14"/>
      <c r="K38" s="8"/>
      <c r="L38" s="8"/>
      <c r="M38" s="8"/>
      <c r="N38" s="8" t="s">
        <v>12</v>
      </c>
      <c r="O38" s="24"/>
      <c r="P38" s="8"/>
      <c r="Q38" s="8"/>
      <c r="R38" s="9"/>
    </row>
    <row r="39" spans="1:18" ht="30" customHeight="1">
      <c r="A39" s="7" t="s">
        <v>955</v>
      </c>
      <c r="B39" s="32"/>
      <c r="C39" s="8"/>
      <c r="D39" s="8"/>
      <c r="E39" s="8"/>
      <c r="F39" s="8"/>
      <c r="G39" s="8"/>
      <c r="H39" s="14"/>
      <c r="I39" s="14"/>
      <c r="J39" s="14"/>
      <c r="K39" s="8"/>
      <c r="L39" s="8"/>
      <c r="M39" s="8"/>
      <c r="N39" s="8" t="s">
        <v>12</v>
      </c>
      <c r="O39" s="24"/>
      <c r="P39" s="8"/>
      <c r="Q39" s="8"/>
      <c r="R39" s="9"/>
    </row>
    <row r="40" spans="1:18" ht="30" customHeight="1">
      <c r="A40" s="7" t="s">
        <v>956</v>
      </c>
      <c r="B40" s="32"/>
      <c r="C40" s="8"/>
      <c r="D40" s="8"/>
      <c r="E40" s="8"/>
      <c r="F40" s="8"/>
      <c r="G40" s="8"/>
      <c r="H40" s="14"/>
      <c r="I40" s="14"/>
      <c r="J40" s="14"/>
      <c r="K40" s="8"/>
      <c r="L40" s="8"/>
      <c r="M40" s="8"/>
      <c r="N40" s="8" t="s">
        <v>12</v>
      </c>
      <c r="O40" s="24"/>
      <c r="P40" s="8"/>
      <c r="Q40" s="8"/>
      <c r="R40" s="9"/>
    </row>
    <row r="41" spans="1:18" ht="30" customHeight="1">
      <c r="A41" s="7" t="s">
        <v>957</v>
      </c>
      <c r="B41" s="32"/>
      <c r="C41" s="8"/>
      <c r="D41" s="8"/>
      <c r="E41" s="8"/>
      <c r="F41" s="8"/>
      <c r="G41" s="8"/>
      <c r="H41" s="14"/>
      <c r="I41" s="14"/>
      <c r="J41" s="14"/>
      <c r="K41" s="8"/>
      <c r="L41" s="8"/>
      <c r="M41" s="8"/>
      <c r="N41" s="8" t="s">
        <v>12</v>
      </c>
      <c r="O41" s="24"/>
      <c r="P41" s="8"/>
      <c r="Q41" s="8"/>
      <c r="R41" s="9"/>
    </row>
    <row r="42" spans="1:18" ht="30" customHeight="1">
      <c r="A42" s="7" t="s">
        <v>958</v>
      </c>
      <c r="B42" s="32"/>
      <c r="C42" s="8"/>
      <c r="D42" s="8"/>
      <c r="E42" s="8"/>
      <c r="F42" s="8"/>
      <c r="G42" s="8"/>
      <c r="H42" s="14"/>
      <c r="I42" s="14"/>
      <c r="J42" s="14"/>
      <c r="K42" s="8"/>
      <c r="L42" s="8"/>
      <c r="M42" s="8"/>
      <c r="N42" s="8" t="s">
        <v>12</v>
      </c>
      <c r="O42" s="24"/>
      <c r="P42" s="8"/>
      <c r="Q42" s="8"/>
      <c r="R42" s="9"/>
    </row>
    <row r="43" spans="1:18" ht="30" customHeight="1">
      <c r="A43" s="7" t="s">
        <v>959</v>
      </c>
      <c r="B43" s="32"/>
      <c r="C43" s="8"/>
      <c r="D43" s="8"/>
      <c r="E43" s="8"/>
      <c r="F43" s="8"/>
      <c r="G43" s="8"/>
      <c r="H43" s="14"/>
      <c r="I43" s="14"/>
      <c r="J43" s="14"/>
      <c r="K43" s="8"/>
      <c r="L43" s="8"/>
      <c r="M43" s="8"/>
      <c r="N43" s="8" t="s">
        <v>12</v>
      </c>
      <c r="O43" s="24"/>
      <c r="P43" s="8"/>
      <c r="Q43" s="8"/>
      <c r="R43" s="9"/>
    </row>
    <row r="44" spans="1:18" ht="30" customHeight="1">
      <c r="A44" s="7" t="s">
        <v>960</v>
      </c>
      <c r="B44" s="32"/>
      <c r="C44" s="8"/>
      <c r="D44" s="8"/>
      <c r="E44" s="8"/>
      <c r="F44" s="8"/>
      <c r="G44" s="8"/>
      <c r="H44" s="14"/>
      <c r="I44" s="14"/>
      <c r="J44" s="14"/>
      <c r="K44" s="8"/>
      <c r="L44" s="8"/>
      <c r="M44" s="8"/>
      <c r="N44" s="8" t="s">
        <v>12</v>
      </c>
      <c r="O44" s="24"/>
      <c r="P44" s="8"/>
      <c r="Q44" s="8"/>
      <c r="R44" s="9"/>
    </row>
    <row r="45" spans="1:18" ht="30" customHeight="1">
      <c r="A45" s="7" t="s">
        <v>961</v>
      </c>
      <c r="B45" s="32"/>
      <c r="C45" s="8"/>
      <c r="D45" s="8"/>
      <c r="E45" s="8"/>
      <c r="F45" s="8"/>
      <c r="G45" s="8"/>
      <c r="H45" s="14"/>
      <c r="I45" s="14"/>
      <c r="J45" s="14"/>
      <c r="K45" s="8"/>
      <c r="L45" s="8"/>
      <c r="M45" s="8"/>
      <c r="N45" s="8" t="s">
        <v>12</v>
      </c>
      <c r="O45" s="24"/>
      <c r="P45" s="8"/>
      <c r="Q45" s="8"/>
      <c r="R45" s="9"/>
    </row>
    <row r="46" spans="1:18" ht="30" customHeight="1">
      <c r="A46" s="7" t="s">
        <v>962</v>
      </c>
      <c r="B46" s="32"/>
      <c r="C46" s="8"/>
      <c r="D46" s="8"/>
      <c r="E46" s="8"/>
      <c r="F46" s="8"/>
      <c r="G46" s="8"/>
      <c r="H46" s="14"/>
      <c r="I46" s="14"/>
      <c r="J46" s="14"/>
      <c r="K46" s="8"/>
      <c r="L46" s="8"/>
      <c r="M46" s="8"/>
      <c r="N46" s="8" t="s">
        <v>12</v>
      </c>
      <c r="O46" s="24"/>
      <c r="P46" s="8"/>
      <c r="Q46" s="8"/>
      <c r="R46" s="9"/>
    </row>
    <row r="47" spans="1:18" ht="30" customHeight="1">
      <c r="A47" s="7" t="s">
        <v>963</v>
      </c>
      <c r="B47" s="32"/>
      <c r="C47" s="8"/>
      <c r="D47" s="8"/>
      <c r="E47" s="8"/>
      <c r="F47" s="8"/>
      <c r="G47" s="8"/>
      <c r="H47" s="14"/>
      <c r="I47" s="14"/>
      <c r="J47" s="14"/>
      <c r="K47" s="8"/>
      <c r="L47" s="8"/>
      <c r="M47" s="8"/>
      <c r="N47" s="8" t="s">
        <v>12</v>
      </c>
      <c r="O47" s="24"/>
      <c r="P47" s="8"/>
      <c r="Q47" s="8"/>
      <c r="R47" s="9"/>
    </row>
    <row r="48" spans="1:18" ht="30" customHeight="1">
      <c r="A48" s="7" t="s">
        <v>964</v>
      </c>
      <c r="B48" s="32"/>
      <c r="C48" s="8"/>
      <c r="D48" s="8"/>
      <c r="E48" s="8"/>
      <c r="F48" s="8"/>
      <c r="G48" s="8"/>
      <c r="H48" s="14"/>
      <c r="I48" s="14"/>
      <c r="J48" s="14"/>
      <c r="K48" s="8"/>
      <c r="L48" s="8"/>
      <c r="M48" s="8"/>
      <c r="N48" s="8" t="s">
        <v>12</v>
      </c>
      <c r="O48" s="24"/>
      <c r="P48" s="8"/>
      <c r="Q48" s="8"/>
      <c r="R48" s="9"/>
    </row>
    <row r="49" spans="1:18" ht="30" customHeight="1">
      <c r="A49" s="7" t="s">
        <v>965</v>
      </c>
      <c r="B49" s="32"/>
      <c r="C49" s="8"/>
      <c r="D49" s="8"/>
      <c r="E49" s="8"/>
      <c r="F49" s="8"/>
      <c r="G49" s="8"/>
      <c r="H49" s="14"/>
      <c r="I49" s="14"/>
      <c r="J49" s="14"/>
      <c r="K49" s="8"/>
      <c r="L49" s="8"/>
      <c r="M49" s="8"/>
      <c r="N49" s="8" t="s">
        <v>12</v>
      </c>
      <c r="O49" s="24"/>
      <c r="P49" s="8"/>
      <c r="Q49" s="8"/>
      <c r="R49" s="9"/>
    </row>
    <row r="50" spans="1:18" ht="30" customHeight="1">
      <c r="A50" s="7" t="s">
        <v>966</v>
      </c>
      <c r="B50" s="32"/>
      <c r="C50" s="8"/>
      <c r="D50" s="8"/>
      <c r="E50" s="8"/>
      <c r="F50" s="8"/>
      <c r="G50" s="8"/>
      <c r="H50" s="14"/>
      <c r="I50" s="14"/>
      <c r="J50" s="14"/>
      <c r="K50" s="8"/>
      <c r="L50" s="8"/>
      <c r="M50" s="8"/>
      <c r="N50" s="8" t="s">
        <v>12</v>
      </c>
      <c r="O50" s="24"/>
      <c r="P50" s="8"/>
      <c r="Q50" s="8"/>
      <c r="R50" s="9"/>
    </row>
    <row r="51" spans="1:18" ht="30" customHeight="1">
      <c r="A51" s="7" t="s">
        <v>967</v>
      </c>
      <c r="B51" s="32"/>
      <c r="C51" s="8"/>
      <c r="D51" s="8"/>
      <c r="E51" s="8"/>
      <c r="F51" s="8"/>
      <c r="G51" s="8"/>
      <c r="H51" s="14"/>
      <c r="I51" s="14"/>
      <c r="J51" s="14"/>
      <c r="K51" s="8"/>
      <c r="L51" s="8"/>
      <c r="M51" s="8"/>
      <c r="N51" s="8" t="s">
        <v>12</v>
      </c>
      <c r="O51" s="24"/>
      <c r="P51" s="8"/>
      <c r="Q51" s="8"/>
      <c r="R51" s="9"/>
    </row>
    <row r="52" spans="1:18" ht="30" customHeight="1">
      <c r="A52" s="7" t="s">
        <v>968</v>
      </c>
      <c r="B52" s="32"/>
      <c r="C52" s="8"/>
      <c r="D52" s="8"/>
      <c r="E52" s="8"/>
      <c r="F52" s="8"/>
      <c r="G52" s="8"/>
      <c r="H52" s="14"/>
      <c r="I52" s="14"/>
      <c r="J52" s="14"/>
      <c r="K52" s="8"/>
      <c r="L52" s="8"/>
      <c r="M52" s="8"/>
      <c r="N52" s="8" t="s">
        <v>12</v>
      </c>
      <c r="O52" s="24"/>
      <c r="P52" s="8"/>
      <c r="Q52" s="8"/>
      <c r="R52" s="9"/>
    </row>
    <row r="53" spans="1:18" ht="30" customHeight="1">
      <c r="A53" s="7" t="s">
        <v>969</v>
      </c>
      <c r="B53" s="32"/>
      <c r="C53" s="8"/>
      <c r="D53" s="8"/>
      <c r="E53" s="8"/>
      <c r="F53" s="8"/>
      <c r="G53" s="8"/>
      <c r="H53" s="14"/>
      <c r="I53" s="14"/>
      <c r="J53" s="14"/>
      <c r="K53" s="8"/>
      <c r="L53" s="8"/>
      <c r="M53" s="8"/>
      <c r="N53" s="8" t="s">
        <v>12</v>
      </c>
      <c r="O53" s="24"/>
      <c r="P53" s="8"/>
      <c r="Q53" s="8"/>
      <c r="R53" s="9"/>
    </row>
    <row r="54" spans="1:18" ht="30" customHeight="1">
      <c r="A54" s="7" t="s">
        <v>970</v>
      </c>
      <c r="B54" s="32"/>
      <c r="C54" s="8"/>
      <c r="D54" s="8"/>
      <c r="E54" s="8"/>
      <c r="F54" s="8"/>
      <c r="G54" s="8"/>
      <c r="H54" s="14"/>
      <c r="I54" s="14"/>
      <c r="J54" s="14"/>
      <c r="K54" s="8"/>
      <c r="L54" s="8"/>
      <c r="M54" s="8"/>
      <c r="N54" s="8" t="s">
        <v>12</v>
      </c>
      <c r="O54" s="24"/>
      <c r="P54" s="8"/>
      <c r="Q54" s="8"/>
      <c r="R54" s="9"/>
    </row>
    <row r="55" spans="1:18" ht="30" customHeight="1">
      <c r="A55" s="7" t="s">
        <v>971</v>
      </c>
      <c r="B55" s="32"/>
      <c r="C55" s="8"/>
      <c r="D55" s="8"/>
      <c r="E55" s="8"/>
      <c r="F55" s="8"/>
      <c r="G55" s="8"/>
      <c r="H55" s="14"/>
      <c r="I55" s="14"/>
      <c r="J55" s="14"/>
      <c r="K55" s="8"/>
      <c r="L55" s="8"/>
      <c r="M55" s="8"/>
      <c r="N55" s="8" t="s">
        <v>12</v>
      </c>
      <c r="O55" s="24"/>
      <c r="P55" s="8"/>
      <c r="Q55" s="8"/>
      <c r="R55" s="9"/>
    </row>
    <row r="56" spans="1:18" ht="30" customHeight="1">
      <c r="A56" s="7" t="s">
        <v>972</v>
      </c>
      <c r="B56" s="32"/>
      <c r="C56" s="8"/>
      <c r="D56" s="8"/>
      <c r="E56" s="8"/>
      <c r="F56" s="8"/>
      <c r="G56" s="8"/>
      <c r="H56" s="14"/>
      <c r="I56" s="14"/>
      <c r="J56" s="14"/>
      <c r="K56" s="8"/>
      <c r="L56" s="8"/>
      <c r="M56" s="8"/>
      <c r="N56" s="8" t="s">
        <v>12</v>
      </c>
      <c r="O56" s="24"/>
      <c r="P56" s="8"/>
      <c r="Q56" s="8"/>
      <c r="R56" s="9"/>
    </row>
    <row r="57" spans="1:18" ht="30" customHeight="1">
      <c r="A57" s="7" t="s">
        <v>973</v>
      </c>
      <c r="B57" s="32"/>
      <c r="C57" s="8"/>
      <c r="D57" s="8"/>
      <c r="E57" s="8"/>
      <c r="F57" s="8"/>
      <c r="G57" s="8"/>
      <c r="H57" s="14"/>
      <c r="I57" s="14"/>
      <c r="J57" s="14"/>
      <c r="K57" s="8"/>
      <c r="L57" s="8"/>
      <c r="M57" s="8"/>
      <c r="N57" s="8" t="s">
        <v>12</v>
      </c>
      <c r="O57" s="24"/>
      <c r="P57" s="8"/>
      <c r="Q57" s="8"/>
      <c r="R57" s="9"/>
    </row>
    <row r="58" spans="1:18" ht="30" customHeight="1">
      <c r="A58" s="7" t="s">
        <v>974</v>
      </c>
      <c r="B58" s="32"/>
      <c r="C58" s="8"/>
      <c r="D58" s="8"/>
      <c r="E58" s="8"/>
      <c r="F58" s="8"/>
      <c r="G58" s="8"/>
      <c r="H58" s="14"/>
      <c r="I58" s="14"/>
      <c r="J58" s="14"/>
      <c r="K58" s="8"/>
      <c r="L58" s="8"/>
      <c r="M58" s="8"/>
      <c r="N58" s="8" t="s">
        <v>12</v>
      </c>
      <c r="O58" s="24"/>
      <c r="P58" s="8"/>
      <c r="Q58" s="8"/>
      <c r="R58" s="9"/>
    </row>
    <row r="59" spans="1:18" ht="30" customHeight="1">
      <c r="A59" s="7" t="s">
        <v>975</v>
      </c>
      <c r="B59" s="32"/>
      <c r="C59" s="8"/>
      <c r="D59" s="8"/>
      <c r="E59" s="8"/>
      <c r="F59" s="8"/>
      <c r="G59" s="8"/>
      <c r="H59" s="14"/>
      <c r="I59" s="14"/>
      <c r="J59" s="14"/>
      <c r="K59" s="8"/>
      <c r="L59" s="8"/>
      <c r="M59" s="8"/>
      <c r="N59" s="8" t="s">
        <v>12</v>
      </c>
      <c r="O59" s="24"/>
      <c r="P59" s="8"/>
      <c r="Q59" s="8"/>
      <c r="R59" s="9"/>
    </row>
    <row r="60" spans="1:18" ht="30" customHeight="1">
      <c r="A60" s="7" t="s">
        <v>976</v>
      </c>
      <c r="B60" s="32"/>
      <c r="C60" s="8"/>
      <c r="D60" s="8"/>
      <c r="E60" s="8"/>
      <c r="F60" s="8"/>
      <c r="G60" s="8"/>
      <c r="H60" s="14"/>
      <c r="I60" s="14"/>
      <c r="J60" s="14"/>
      <c r="K60" s="8"/>
      <c r="L60" s="8"/>
      <c r="M60" s="8"/>
      <c r="N60" s="8" t="s">
        <v>12</v>
      </c>
      <c r="O60" s="24"/>
      <c r="P60" s="8"/>
      <c r="Q60" s="8"/>
      <c r="R60" s="9"/>
    </row>
    <row r="61" spans="1:18" ht="30" customHeight="1">
      <c r="A61" s="7" t="s">
        <v>977</v>
      </c>
      <c r="B61" s="32"/>
      <c r="C61" s="8"/>
      <c r="D61" s="8"/>
      <c r="E61" s="8"/>
      <c r="F61" s="8"/>
      <c r="G61" s="8"/>
      <c r="H61" s="14"/>
      <c r="I61" s="14"/>
      <c r="J61" s="14"/>
      <c r="K61" s="8"/>
      <c r="L61" s="8"/>
      <c r="M61" s="8"/>
      <c r="N61" s="8" t="s">
        <v>12</v>
      </c>
      <c r="O61" s="24"/>
      <c r="P61" s="8"/>
      <c r="Q61" s="8"/>
      <c r="R61" s="9"/>
    </row>
    <row r="62" spans="1:18" ht="30" customHeight="1">
      <c r="A62" s="7" t="s">
        <v>978</v>
      </c>
      <c r="B62" s="32"/>
      <c r="C62" s="8"/>
      <c r="D62" s="8"/>
      <c r="E62" s="8"/>
      <c r="F62" s="8"/>
      <c r="G62" s="8"/>
      <c r="H62" s="14"/>
      <c r="I62" s="14"/>
      <c r="J62" s="14"/>
      <c r="K62" s="8"/>
      <c r="L62" s="8"/>
      <c r="M62" s="8"/>
      <c r="N62" s="8" t="s">
        <v>12</v>
      </c>
      <c r="O62" s="24"/>
      <c r="P62" s="8"/>
      <c r="Q62" s="8"/>
      <c r="R62" s="9"/>
    </row>
    <row r="63" spans="1:18" ht="30" customHeight="1">
      <c r="A63" s="7" t="s">
        <v>979</v>
      </c>
      <c r="B63" s="32"/>
      <c r="C63" s="8"/>
      <c r="D63" s="8"/>
      <c r="E63" s="8"/>
      <c r="F63" s="8"/>
      <c r="G63" s="8"/>
      <c r="H63" s="14"/>
      <c r="I63" s="14"/>
      <c r="J63" s="14"/>
      <c r="K63" s="8"/>
      <c r="L63" s="8"/>
      <c r="M63" s="8"/>
      <c r="N63" s="8" t="s">
        <v>12</v>
      </c>
      <c r="O63" s="24"/>
      <c r="P63" s="8"/>
      <c r="Q63" s="8"/>
      <c r="R63" s="9"/>
    </row>
    <row r="64" spans="1:18" ht="30" customHeight="1">
      <c r="A64" s="7" t="s">
        <v>980</v>
      </c>
      <c r="B64" s="32"/>
      <c r="C64" s="8"/>
      <c r="D64" s="8"/>
      <c r="E64" s="8"/>
      <c r="F64" s="8"/>
      <c r="G64" s="8"/>
      <c r="H64" s="14"/>
      <c r="I64" s="14"/>
      <c r="J64" s="14"/>
      <c r="K64" s="8"/>
      <c r="L64" s="8"/>
      <c r="M64" s="8"/>
      <c r="N64" s="8" t="s">
        <v>12</v>
      </c>
      <c r="O64" s="24"/>
      <c r="P64" s="8"/>
      <c r="Q64" s="8"/>
      <c r="R64" s="9"/>
    </row>
    <row r="65" spans="1:18" ht="30" customHeight="1">
      <c r="A65" s="7" t="s">
        <v>981</v>
      </c>
      <c r="B65" s="32"/>
      <c r="C65" s="8"/>
      <c r="D65" s="8"/>
      <c r="E65" s="8"/>
      <c r="F65" s="8"/>
      <c r="G65" s="8"/>
      <c r="H65" s="14"/>
      <c r="I65" s="14"/>
      <c r="J65" s="14"/>
      <c r="K65" s="8"/>
      <c r="L65" s="8"/>
      <c r="M65" s="8"/>
      <c r="N65" s="8" t="s">
        <v>12</v>
      </c>
      <c r="O65" s="24"/>
      <c r="P65" s="8"/>
      <c r="Q65" s="8"/>
      <c r="R65" s="9"/>
    </row>
    <row r="66" spans="1:18" ht="30" customHeight="1">
      <c r="A66" s="7" t="s">
        <v>982</v>
      </c>
      <c r="B66" s="32"/>
      <c r="C66" s="8"/>
      <c r="D66" s="8"/>
      <c r="E66" s="8"/>
      <c r="F66" s="8"/>
      <c r="G66" s="8"/>
      <c r="H66" s="14"/>
      <c r="I66" s="14"/>
      <c r="J66" s="14"/>
      <c r="K66" s="8"/>
      <c r="L66" s="8"/>
      <c r="M66" s="8"/>
      <c r="N66" s="8" t="s">
        <v>12</v>
      </c>
      <c r="O66" s="24"/>
      <c r="P66" s="8"/>
      <c r="Q66" s="8"/>
      <c r="R66" s="9"/>
    </row>
    <row r="67" spans="1:18" ht="30" customHeight="1">
      <c r="A67" s="7" t="s">
        <v>983</v>
      </c>
      <c r="B67" s="32"/>
      <c r="C67" s="8"/>
      <c r="D67" s="8"/>
      <c r="E67" s="8"/>
      <c r="F67" s="8"/>
      <c r="G67" s="8"/>
      <c r="H67" s="14"/>
      <c r="I67" s="14"/>
      <c r="J67" s="14"/>
      <c r="K67" s="8"/>
      <c r="L67" s="8"/>
      <c r="M67" s="8"/>
      <c r="N67" s="8" t="s">
        <v>12</v>
      </c>
      <c r="O67" s="24"/>
      <c r="P67" s="8"/>
      <c r="Q67" s="8"/>
      <c r="R67" s="9"/>
    </row>
    <row r="68" spans="1:18" ht="30" customHeight="1">
      <c r="A68" s="7" t="s">
        <v>984</v>
      </c>
      <c r="B68" s="32"/>
      <c r="C68" s="8"/>
      <c r="D68" s="8"/>
      <c r="E68" s="8"/>
      <c r="F68" s="8"/>
      <c r="G68" s="8"/>
      <c r="H68" s="14"/>
      <c r="I68" s="14"/>
      <c r="J68" s="14"/>
      <c r="K68" s="8"/>
      <c r="L68" s="8"/>
      <c r="M68" s="8"/>
      <c r="N68" s="8" t="s">
        <v>12</v>
      </c>
      <c r="O68" s="24"/>
      <c r="P68" s="8"/>
      <c r="Q68" s="8"/>
      <c r="R68" s="9"/>
    </row>
    <row r="69" spans="1:18" ht="30" customHeight="1">
      <c r="A69" s="7" t="s">
        <v>985</v>
      </c>
      <c r="B69" s="32"/>
      <c r="C69" s="8"/>
      <c r="D69" s="8"/>
      <c r="E69" s="8"/>
      <c r="F69" s="8"/>
      <c r="G69" s="8"/>
      <c r="H69" s="14"/>
      <c r="I69" s="14"/>
      <c r="J69" s="14"/>
      <c r="K69" s="8"/>
      <c r="L69" s="8"/>
      <c r="M69" s="8"/>
      <c r="N69" s="8" t="s">
        <v>12</v>
      </c>
      <c r="O69" s="24"/>
      <c r="P69" s="8"/>
      <c r="Q69" s="8"/>
      <c r="R69" s="9"/>
    </row>
    <row r="70" spans="1:18" ht="30" customHeight="1">
      <c r="A70" s="7" t="s">
        <v>986</v>
      </c>
      <c r="B70" s="32"/>
      <c r="C70" s="8"/>
      <c r="D70" s="8"/>
      <c r="E70" s="8"/>
      <c r="F70" s="8"/>
      <c r="G70" s="8"/>
      <c r="H70" s="14"/>
      <c r="I70" s="14"/>
      <c r="J70" s="14"/>
      <c r="K70" s="8"/>
      <c r="L70" s="8"/>
      <c r="M70" s="8"/>
      <c r="N70" s="8" t="s">
        <v>12</v>
      </c>
      <c r="O70" s="24"/>
      <c r="P70" s="8"/>
      <c r="Q70" s="8"/>
      <c r="R70" s="9"/>
    </row>
    <row r="71" spans="1:18" ht="30" customHeight="1">
      <c r="A71" s="7" t="s">
        <v>987</v>
      </c>
      <c r="B71" s="32"/>
      <c r="C71" s="8"/>
      <c r="D71" s="8"/>
      <c r="E71" s="8"/>
      <c r="F71" s="8"/>
      <c r="G71" s="8"/>
      <c r="H71" s="14"/>
      <c r="I71" s="14"/>
      <c r="J71" s="14"/>
      <c r="K71" s="8"/>
      <c r="L71" s="8"/>
      <c r="M71" s="8"/>
      <c r="N71" s="8" t="s">
        <v>12</v>
      </c>
      <c r="O71" s="24"/>
      <c r="P71" s="8"/>
      <c r="Q71" s="8"/>
      <c r="R71" s="9"/>
    </row>
    <row r="72" spans="1:18" ht="30" customHeight="1">
      <c r="A72" s="7" t="s">
        <v>988</v>
      </c>
      <c r="B72" s="32"/>
      <c r="C72" s="8"/>
      <c r="D72" s="8"/>
      <c r="E72" s="8"/>
      <c r="F72" s="8"/>
      <c r="G72" s="8"/>
      <c r="H72" s="14"/>
      <c r="I72" s="14"/>
      <c r="J72" s="14"/>
      <c r="K72" s="8"/>
      <c r="L72" s="8"/>
      <c r="M72" s="8"/>
      <c r="N72" s="8" t="s">
        <v>12</v>
      </c>
      <c r="O72" s="24"/>
      <c r="P72" s="8"/>
      <c r="Q72" s="8"/>
      <c r="R72" s="9"/>
    </row>
    <row r="73" spans="1:18" ht="30" customHeight="1">
      <c r="A73" s="7" t="s">
        <v>989</v>
      </c>
      <c r="B73" s="32"/>
      <c r="C73" s="8"/>
      <c r="D73" s="8"/>
      <c r="E73" s="8"/>
      <c r="F73" s="8"/>
      <c r="G73" s="8"/>
      <c r="H73" s="14"/>
      <c r="I73" s="14"/>
      <c r="J73" s="14"/>
      <c r="K73" s="8"/>
      <c r="L73" s="8"/>
      <c r="M73" s="8"/>
      <c r="N73" s="8" t="s">
        <v>12</v>
      </c>
      <c r="O73" s="24"/>
      <c r="P73" s="8"/>
      <c r="Q73" s="8"/>
      <c r="R73" s="9"/>
    </row>
    <row r="74" spans="1:18" ht="30" customHeight="1">
      <c r="A74" s="7" t="s">
        <v>990</v>
      </c>
      <c r="B74" s="32"/>
      <c r="C74" s="8"/>
      <c r="D74" s="8"/>
      <c r="E74" s="8"/>
      <c r="F74" s="8"/>
      <c r="G74" s="8"/>
      <c r="H74" s="14"/>
      <c r="I74" s="14"/>
      <c r="J74" s="14"/>
      <c r="K74" s="8"/>
      <c r="L74" s="8"/>
      <c r="M74" s="8"/>
      <c r="N74" s="8" t="s">
        <v>12</v>
      </c>
      <c r="O74" s="24"/>
      <c r="P74" s="8"/>
      <c r="Q74" s="8"/>
      <c r="R74" s="9"/>
    </row>
    <row r="75" spans="1:18" ht="30" customHeight="1">
      <c r="A75" s="7" t="s">
        <v>991</v>
      </c>
      <c r="B75" s="32"/>
      <c r="C75" s="8"/>
      <c r="D75" s="8"/>
      <c r="E75" s="8"/>
      <c r="F75" s="8"/>
      <c r="G75" s="8"/>
      <c r="H75" s="14"/>
      <c r="I75" s="14"/>
      <c r="J75" s="14"/>
      <c r="K75" s="8"/>
      <c r="L75" s="8"/>
      <c r="M75" s="8"/>
      <c r="N75" s="8" t="s">
        <v>12</v>
      </c>
      <c r="O75" s="24"/>
      <c r="P75" s="8"/>
      <c r="Q75" s="8"/>
      <c r="R75" s="9"/>
    </row>
    <row r="76" spans="1:18" ht="30" customHeight="1">
      <c r="A76" s="7" t="s">
        <v>992</v>
      </c>
      <c r="B76" s="32"/>
      <c r="C76" s="8"/>
      <c r="D76" s="8"/>
      <c r="E76" s="8"/>
      <c r="F76" s="8"/>
      <c r="G76" s="8"/>
      <c r="H76" s="14"/>
      <c r="I76" s="14"/>
      <c r="J76" s="14"/>
      <c r="K76" s="8"/>
      <c r="L76" s="8"/>
      <c r="M76" s="8"/>
      <c r="N76" s="8" t="s">
        <v>12</v>
      </c>
      <c r="O76" s="24"/>
      <c r="P76" s="8"/>
      <c r="Q76" s="8"/>
      <c r="R76" s="9"/>
    </row>
    <row r="77" spans="1:18" ht="30" customHeight="1">
      <c r="A77" s="7" t="s">
        <v>993</v>
      </c>
      <c r="B77" s="32"/>
      <c r="C77" s="8"/>
      <c r="D77" s="8"/>
      <c r="E77" s="8"/>
      <c r="F77" s="8"/>
      <c r="G77" s="8"/>
      <c r="H77" s="14"/>
      <c r="I77" s="14"/>
      <c r="J77" s="14"/>
      <c r="K77" s="8"/>
      <c r="L77" s="8"/>
      <c r="M77" s="8"/>
      <c r="N77" s="8" t="s">
        <v>12</v>
      </c>
      <c r="O77" s="24"/>
      <c r="P77" s="8"/>
      <c r="Q77" s="8"/>
      <c r="R77" s="9"/>
    </row>
    <row r="78" spans="1:18" ht="30" customHeight="1">
      <c r="A78" s="7" t="s">
        <v>994</v>
      </c>
      <c r="B78" s="32"/>
      <c r="C78" s="8"/>
      <c r="D78" s="8"/>
      <c r="E78" s="8"/>
      <c r="F78" s="8"/>
      <c r="G78" s="8"/>
      <c r="H78" s="14"/>
      <c r="I78" s="14"/>
      <c r="J78" s="14"/>
      <c r="K78" s="8"/>
      <c r="L78" s="8"/>
      <c r="M78" s="8"/>
      <c r="N78" s="8" t="s">
        <v>12</v>
      </c>
      <c r="O78" s="24"/>
      <c r="P78" s="8"/>
      <c r="Q78" s="8"/>
      <c r="R78" s="9"/>
    </row>
    <row r="79" spans="1:18" ht="30" customHeight="1">
      <c r="A79" s="7" t="s">
        <v>995</v>
      </c>
      <c r="B79" s="32"/>
      <c r="C79" s="8"/>
      <c r="D79" s="8"/>
      <c r="E79" s="8"/>
      <c r="F79" s="8"/>
      <c r="G79" s="8"/>
      <c r="H79" s="14"/>
      <c r="I79" s="14"/>
      <c r="J79" s="14"/>
      <c r="K79" s="8"/>
      <c r="L79" s="8"/>
      <c r="M79" s="8"/>
      <c r="N79" s="8" t="s">
        <v>12</v>
      </c>
      <c r="O79" s="24"/>
      <c r="P79" s="8"/>
      <c r="Q79" s="8"/>
      <c r="R79" s="9"/>
    </row>
    <row r="80" spans="1:18" ht="30" customHeight="1">
      <c r="A80" s="7" t="s">
        <v>996</v>
      </c>
      <c r="B80" s="32"/>
      <c r="C80" s="8"/>
      <c r="D80" s="8"/>
      <c r="E80" s="8"/>
      <c r="F80" s="8"/>
      <c r="G80" s="8"/>
      <c r="H80" s="14"/>
      <c r="I80" s="14"/>
      <c r="J80" s="14"/>
      <c r="K80" s="8"/>
      <c r="L80" s="8"/>
      <c r="M80" s="8"/>
      <c r="N80" s="8" t="s">
        <v>12</v>
      </c>
      <c r="O80" s="24"/>
      <c r="P80" s="8"/>
      <c r="Q80" s="8"/>
      <c r="R80" s="9"/>
    </row>
    <row r="81" spans="1:18" ht="30" customHeight="1">
      <c r="A81" s="7" t="s">
        <v>997</v>
      </c>
      <c r="B81" s="32"/>
      <c r="C81" s="8"/>
      <c r="D81" s="8"/>
      <c r="E81" s="8"/>
      <c r="F81" s="8"/>
      <c r="G81" s="8"/>
      <c r="H81" s="14"/>
      <c r="I81" s="14"/>
      <c r="J81" s="14"/>
      <c r="K81" s="8"/>
      <c r="L81" s="8"/>
      <c r="M81" s="8"/>
      <c r="N81" s="8" t="s">
        <v>12</v>
      </c>
      <c r="O81" s="24"/>
      <c r="P81" s="8"/>
      <c r="Q81" s="8"/>
      <c r="R81" s="9"/>
    </row>
    <row r="82" spans="1:18" ht="30" customHeight="1">
      <c r="A82" s="7" t="s">
        <v>998</v>
      </c>
      <c r="B82" s="32"/>
      <c r="C82" s="8"/>
      <c r="D82" s="8"/>
      <c r="E82" s="8"/>
      <c r="F82" s="8"/>
      <c r="G82" s="8"/>
      <c r="H82" s="14"/>
      <c r="I82" s="14"/>
      <c r="J82" s="14"/>
      <c r="K82" s="8"/>
      <c r="L82" s="8"/>
      <c r="M82" s="8"/>
      <c r="N82" s="8" t="s">
        <v>12</v>
      </c>
      <c r="O82" s="24"/>
      <c r="P82" s="8"/>
      <c r="Q82" s="8"/>
      <c r="R82" s="9"/>
    </row>
    <row r="83" spans="1:18" ht="30" customHeight="1">
      <c r="A83" s="7" t="s">
        <v>999</v>
      </c>
      <c r="B83" s="32"/>
      <c r="C83" s="8"/>
      <c r="D83" s="8"/>
      <c r="E83" s="8"/>
      <c r="F83" s="8"/>
      <c r="G83" s="8"/>
      <c r="H83" s="14"/>
      <c r="I83" s="14"/>
      <c r="J83" s="14"/>
      <c r="K83" s="8"/>
      <c r="L83" s="8"/>
      <c r="M83" s="8"/>
      <c r="N83" s="8" t="s">
        <v>12</v>
      </c>
      <c r="O83" s="24"/>
      <c r="P83" s="8"/>
      <c r="Q83" s="8"/>
      <c r="R83" s="9"/>
    </row>
    <row r="84" spans="1:18" ht="30" customHeight="1">
      <c r="A84" s="7" t="s">
        <v>1000</v>
      </c>
      <c r="B84" s="32"/>
      <c r="C84" s="8"/>
      <c r="D84" s="8"/>
      <c r="E84" s="8"/>
      <c r="F84" s="8"/>
      <c r="G84" s="8"/>
      <c r="H84" s="14"/>
      <c r="I84" s="14"/>
      <c r="J84" s="14"/>
      <c r="K84" s="8"/>
      <c r="L84" s="8"/>
      <c r="M84" s="8"/>
      <c r="N84" s="8" t="s">
        <v>12</v>
      </c>
      <c r="O84" s="24"/>
      <c r="P84" s="8"/>
      <c r="Q84" s="8"/>
      <c r="R84" s="9"/>
    </row>
    <row r="85" spans="1:18" ht="30" customHeight="1">
      <c r="A85" s="7" t="s">
        <v>1001</v>
      </c>
      <c r="B85" s="32"/>
      <c r="C85" s="8"/>
      <c r="D85" s="8"/>
      <c r="E85" s="8"/>
      <c r="F85" s="8"/>
      <c r="G85" s="8"/>
      <c r="H85" s="14"/>
      <c r="I85" s="14"/>
      <c r="J85" s="14"/>
      <c r="K85" s="8"/>
      <c r="L85" s="8"/>
      <c r="M85" s="8"/>
      <c r="N85" s="8" t="s">
        <v>12</v>
      </c>
      <c r="O85" s="24"/>
      <c r="P85" s="8"/>
      <c r="Q85" s="8"/>
      <c r="R85" s="9"/>
    </row>
    <row r="86" spans="1:18" ht="30" customHeight="1">
      <c r="A86" s="7" t="s">
        <v>1002</v>
      </c>
      <c r="B86" s="32"/>
      <c r="C86" s="8"/>
      <c r="D86" s="8"/>
      <c r="E86" s="8"/>
      <c r="F86" s="8"/>
      <c r="G86" s="8"/>
      <c r="H86" s="14"/>
      <c r="I86" s="14"/>
      <c r="J86" s="14"/>
      <c r="K86" s="8"/>
      <c r="L86" s="8"/>
      <c r="M86" s="8"/>
      <c r="N86" s="8" t="s">
        <v>12</v>
      </c>
      <c r="O86" s="24"/>
      <c r="P86" s="8"/>
      <c r="Q86" s="8"/>
      <c r="R86" s="9"/>
    </row>
    <row r="87" spans="1:18" ht="30" customHeight="1">
      <c r="A87" s="7" t="s">
        <v>1003</v>
      </c>
      <c r="B87" s="32"/>
      <c r="C87" s="8"/>
      <c r="D87" s="8"/>
      <c r="E87" s="8"/>
      <c r="F87" s="8"/>
      <c r="G87" s="8"/>
      <c r="H87" s="14"/>
      <c r="I87" s="14"/>
      <c r="J87" s="14"/>
      <c r="K87" s="8"/>
      <c r="L87" s="8"/>
      <c r="M87" s="8"/>
      <c r="N87" s="8" t="s">
        <v>12</v>
      </c>
      <c r="O87" s="24"/>
      <c r="P87" s="8"/>
      <c r="Q87" s="8"/>
      <c r="R87" s="9"/>
    </row>
    <row r="88" spans="1:18" ht="30" customHeight="1">
      <c r="A88" s="7" t="s">
        <v>1004</v>
      </c>
      <c r="B88" s="32"/>
      <c r="C88" s="8"/>
      <c r="D88" s="8"/>
      <c r="E88" s="8"/>
      <c r="F88" s="8"/>
      <c r="G88" s="8"/>
      <c r="H88" s="14"/>
      <c r="I88" s="14"/>
      <c r="J88" s="14"/>
      <c r="K88" s="8"/>
      <c r="L88" s="8"/>
      <c r="M88" s="8"/>
      <c r="N88" s="8" t="s">
        <v>12</v>
      </c>
      <c r="O88" s="24"/>
      <c r="P88" s="8"/>
      <c r="Q88" s="8"/>
      <c r="R88" s="9"/>
    </row>
    <row r="89" spans="1:18" ht="30" customHeight="1">
      <c r="A89" s="7" t="s">
        <v>1005</v>
      </c>
      <c r="B89" s="32"/>
      <c r="C89" s="8"/>
      <c r="D89" s="8"/>
      <c r="E89" s="8"/>
      <c r="F89" s="8"/>
      <c r="G89" s="8"/>
      <c r="H89" s="14"/>
      <c r="I89" s="14"/>
      <c r="J89" s="14"/>
      <c r="K89" s="8"/>
      <c r="L89" s="8"/>
      <c r="M89" s="8"/>
      <c r="N89" s="8" t="s">
        <v>12</v>
      </c>
      <c r="O89" s="24"/>
      <c r="P89" s="8"/>
      <c r="Q89" s="8"/>
      <c r="R89" s="9"/>
    </row>
    <row r="90" spans="1:18" ht="30" customHeight="1">
      <c r="A90" s="7" t="s">
        <v>1006</v>
      </c>
      <c r="B90" s="32"/>
      <c r="C90" s="8"/>
      <c r="D90" s="8"/>
      <c r="E90" s="8"/>
      <c r="F90" s="8"/>
      <c r="G90" s="8"/>
      <c r="H90" s="14"/>
      <c r="I90" s="14"/>
      <c r="J90" s="14"/>
      <c r="K90" s="8"/>
      <c r="L90" s="8"/>
      <c r="M90" s="8"/>
      <c r="N90" s="8" t="s">
        <v>12</v>
      </c>
      <c r="O90" s="24"/>
      <c r="P90" s="8"/>
      <c r="Q90" s="8"/>
      <c r="R90" s="9"/>
    </row>
    <row r="91" spans="1:18" ht="30" customHeight="1">
      <c r="A91" s="7" t="s">
        <v>1007</v>
      </c>
      <c r="B91" s="32"/>
      <c r="C91" s="8"/>
      <c r="D91" s="8"/>
      <c r="E91" s="8"/>
      <c r="F91" s="8"/>
      <c r="G91" s="8"/>
      <c r="H91" s="14"/>
      <c r="I91" s="14"/>
      <c r="J91" s="14"/>
      <c r="K91" s="8"/>
      <c r="L91" s="8"/>
      <c r="M91" s="8"/>
      <c r="N91" s="8" t="s">
        <v>12</v>
      </c>
      <c r="O91" s="24"/>
      <c r="P91" s="8"/>
      <c r="Q91" s="8"/>
      <c r="R91" s="9"/>
    </row>
    <row r="92" spans="1:18" ht="30" customHeight="1">
      <c r="A92" s="7" t="s">
        <v>1008</v>
      </c>
      <c r="B92" s="32"/>
      <c r="C92" s="8"/>
      <c r="D92" s="8"/>
      <c r="E92" s="8"/>
      <c r="F92" s="8"/>
      <c r="G92" s="8"/>
      <c r="H92" s="14"/>
      <c r="I92" s="14"/>
      <c r="J92" s="14"/>
      <c r="K92" s="8"/>
      <c r="L92" s="8"/>
      <c r="M92" s="8"/>
      <c r="N92" s="8" t="s">
        <v>12</v>
      </c>
      <c r="O92" s="24"/>
      <c r="P92" s="8"/>
      <c r="Q92" s="8"/>
      <c r="R92" s="9"/>
    </row>
    <row r="93" spans="1:18" ht="30" customHeight="1">
      <c r="A93" s="7" t="s">
        <v>1009</v>
      </c>
      <c r="B93" s="32"/>
      <c r="C93" s="8"/>
      <c r="D93" s="8"/>
      <c r="E93" s="8"/>
      <c r="F93" s="8"/>
      <c r="G93" s="8"/>
      <c r="H93" s="14"/>
      <c r="I93" s="14"/>
      <c r="J93" s="14"/>
      <c r="K93" s="8"/>
      <c r="L93" s="8"/>
      <c r="M93" s="8"/>
      <c r="N93" s="8" t="s">
        <v>12</v>
      </c>
      <c r="O93" s="24"/>
      <c r="P93" s="8"/>
      <c r="Q93" s="8"/>
      <c r="R93" s="9"/>
    </row>
    <row r="94" spans="1:18" ht="30" customHeight="1">
      <c r="A94" s="7" t="s">
        <v>1010</v>
      </c>
      <c r="B94" s="32"/>
      <c r="C94" s="8"/>
      <c r="D94" s="8"/>
      <c r="E94" s="8"/>
      <c r="F94" s="8"/>
      <c r="G94" s="8"/>
      <c r="H94" s="14"/>
      <c r="I94" s="14"/>
      <c r="J94" s="14"/>
      <c r="K94" s="8"/>
      <c r="L94" s="8"/>
      <c r="M94" s="8"/>
      <c r="N94" s="8" t="s">
        <v>12</v>
      </c>
      <c r="O94" s="24"/>
      <c r="P94" s="8"/>
      <c r="Q94" s="8"/>
      <c r="R94" s="9"/>
    </row>
    <row r="95" spans="1:18" ht="30" customHeight="1">
      <c r="A95" s="7" t="s">
        <v>1011</v>
      </c>
      <c r="B95" s="32"/>
      <c r="C95" s="8"/>
      <c r="D95" s="8"/>
      <c r="E95" s="8"/>
      <c r="F95" s="8"/>
      <c r="G95" s="8"/>
      <c r="H95" s="14"/>
      <c r="I95" s="14"/>
      <c r="J95" s="14"/>
      <c r="K95" s="8"/>
      <c r="L95" s="8"/>
      <c r="M95" s="8"/>
      <c r="N95" s="8" t="s">
        <v>12</v>
      </c>
      <c r="O95" s="24"/>
      <c r="P95" s="8"/>
      <c r="Q95" s="8"/>
      <c r="R95" s="9"/>
    </row>
    <row r="96" spans="1:18" ht="30" customHeight="1">
      <c r="A96" s="7" t="s">
        <v>1012</v>
      </c>
      <c r="B96" s="32"/>
      <c r="C96" s="8"/>
      <c r="D96" s="8"/>
      <c r="E96" s="8"/>
      <c r="F96" s="8"/>
      <c r="G96" s="8"/>
      <c r="H96" s="14"/>
      <c r="I96" s="14"/>
      <c r="J96" s="14"/>
      <c r="K96" s="8"/>
      <c r="L96" s="8"/>
      <c r="M96" s="8"/>
      <c r="N96" s="8" t="s">
        <v>12</v>
      </c>
      <c r="O96" s="24"/>
      <c r="P96" s="8"/>
      <c r="Q96" s="8"/>
      <c r="R96" s="9"/>
    </row>
    <row r="97" spans="1:18" ht="30" customHeight="1">
      <c r="A97" s="7" t="s">
        <v>1013</v>
      </c>
      <c r="B97" s="32"/>
      <c r="C97" s="8"/>
      <c r="D97" s="8"/>
      <c r="E97" s="8"/>
      <c r="F97" s="8"/>
      <c r="G97" s="8"/>
      <c r="H97" s="14"/>
      <c r="I97" s="14"/>
      <c r="J97" s="14"/>
      <c r="K97" s="8"/>
      <c r="L97" s="8"/>
      <c r="M97" s="8"/>
      <c r="N97" s="8" t="s">
        <v>12</v>
      </c>
      <c r="O97" s="24"/>
      <c r="P97" s="8"/>
      <c r="Q97" s="8"/>
      <c r="R97" s="9"/>
    </row>
    <row r="98" spans="1:18" ht="30" customHeight="1">
      <c r="A98" s="7" t="s">
        <v>1014</v>
      </c>
      <c r="B98" s="32"/>
      <c r="C98" s="8"/>
      <c r="D98" s="8"/>
      <c r="E98" s="8"/>
      <c r="F98" s="8"/>
      <c r="G98" s="8"/>
      <c r="H98" s="14"/>
      <c r="I98" s="14"/>
      <c r="J98" s="14"/>
      <c r="K98" s="8"/>
      <c r="L98" s="8"/>
      <c r="M98" s="8"/>
      <c r="N98" s="8" t="s">
        <v>12</v>
      </c>
      <c r="O98" s="24"/>
      <c r="P98" s="8"/>
      <c r="Q98" s="8"/>
      <c r="R98" s="9"/>
    </row>
    <row r="99" spans="1:18" ht="30" customHeight="1">
      <c r="A99" s="7" t="s">
        <v>1015</v>
      </c>
      <c r="B99" s="32"/>
      <c r="C99" s="8"/>
      <c r="D99" s="8"/>
      <c r="E99" s="8"/>
      <c r="F99" s="8"/>
      <c r="G99" s="8"/>
      <c r="H99" s="14"/>
      <c r="I99" s="14"/>
      <c r="J99" s="14"/>
      <c r="K99" s="8"/>
      <c r="L99" s="8"/>
      <c r="M99" s="8"/>
      <c r="N99" s="8" t="s">
        <v>12</v>
      </c>
      <c r="O99" s="24"/>
      <c r="P99" s="8"/>
      <c r="Q99" s="8"/>
      <c r="R99" s="9"/>
    </row>
    <row r="100" spans="1:18" ht="30" customHeight="1">
      <c r="A100" s="7" t="s">
        <v>1016</v>
      </c>
      <c r="B100" s="32"/>
      <c r="C100" s="8"/>
      <c r="D100" s="8"/>
      <c r="E100" s="8"/>
      <c r="F100" s="8"/>
      <c r="G100" s="8"/>
      <c r="H100" s="14"/>
      <c r="I100" s="14"/>
      <c r="J100" s="14"/>
      <c r="K100" s="8"/>
      <c r="L100" s="8"/>
      <c r="M100" s="8"/>
      <c r="N100" s="8" t="s">
        <v>12</v>
      </c>
      <c r="O100" s="24"/>
      <c r="P100" s="8"/>
      <c r="Q100" s="8"/>
      <c r="R100" s="9"/>
    </row>
    <row r="101" spans="1:18" ht="30" customHeight="1">
      <c r="A101" s="7" t="s">
        <v>1017</v>
      </c>
      <c r="B101" s="32"/>
      <c r="C101" s="8"/>
      <c r="D101" s="8"/>
      <c r="E101" s="8"/>
      <c r="F101" s="8"/>
      <c r="G101" s="8"/>
      <c r="H101" s="14"/>
      <c r="I101" s="14"/>
      <c r="J101" s="14"/>
      <c r="K101" s="8"/>
      <c r="L101" s="8"/>
      <c r="M101" s="8"/>
      <c r="N101" s="8" t="s">
        <v>12</v>
      </c>
      <c r="O101" s="24"/>
      <c r="P101" s="8"/>
      <c r="Q101" s="8"/>
      <c r="R101" s="9"/>
    </row>
    <row r="102" spans="1:18" ht="30" customHeight="1">
      <c r="A102" s="7" t="s">
        <v>1018</v>
      </c>
      <c r="B102" s="32"/>
      <c r="C102" s="8"/>
      <c r="D102" s="8"/>
      <c r="E102" s="8"/>
      <c r="F102" s="8"/>
      <c r="G102" s="8"/>
      <c r="H102" s="14"/>
      <c r="I102" s="14"/>
      <c r="J102" s="14"/>
      <c r="K102" s="8"/>
      <c r="L102" s="8"/>
      <c r="M102" s="8"/>
      <c r="N102" s="8" t="s">
        <v>12</v>
      </c>
      <c r="O102" s="24"/>
      <c r="P102" s="8"/>
      <c r="Q102" s="8"/>
      <c r="R102" s="9"/>
    </row>
    <row r="103" spans="1:18" ht="30" customHeight="1">
      <c r="A103" s="7" t="s">
        <v>1019</v>
      </c>
      <c r="B103" s="32"/>
      <c r="C103" s="8"/>
      <c r="D103" s="8"/>
      <c r="E103" s="8"/>
      <c r="F103" s="8"/>
      <c r="G103" s="8"/>
      <c r="H103" s="14"/>
      <c r="I103" s="14"/>
      <c r="J103" s="14"/>
      <c r="K103" s="8"/>
      <c r="L103" s="8"/>
      <c r="M103" s="8"/>
      <c r="N103" s="8" t="s">
        <v>12</v>
      </c>
      <c r="O103" s="24"/>
      <c r="P103" s="8"/>
      <c r="Q103" s="8"/>
      <c r="R103" s="9"/>
    </row>
    <row r="104" spans="1:18" ht="30" customHeight="1">
      <c r="A104" s="10" t="s">
        <v>1020</v>
      </c>
      <c r="B104" s="33"/>
      <c r="C104" s="11"/>
      <c r="D104" s="11"/>
      <c r="E104" s="11"/>
      <c r="F104" s="11"/>
      <c r="G104" s="11"/>
      <c r="H104" s="15"/>
      <c r="I104" s="15"/>
      <c r="J104" s="15"/>
      <c r="K104" s="11"/>
      <c r="L104" s="11"/>
      <c r="M104" s="11"/>
      <c r="N104" s="11" t="s">
        <v>12</v>
      </c>
      <c r="O104" s="26"/>
      <c r="P104" s="11"/>
      <c r="Q104" s="11"/>
      <c r="R104" s="12"/>
    </row>
  </sheetData>
  <mergeCells count="2">
    <mergeCell ref="A1:H1"/>
    <mergeCell ref="A2:H2"/>
  </mergeCells>
  <conditionalFormatting sqref="N5:N104">
    <cfRule type="containsText" dxfId="3" priority="1" operator="containsText" text="Passed"/>
    <cfRule type="containsText" dxfId="2" priority="2" operator="containsText" text="Failed"/>
  </conditionalFormatting>
  <dataValidations count="1">
    <dataValidation type="list" sqref="N5:N104" xr:uid="{00000000-0002-0000-0500-000000000000}">
      <formula1>"Not Run,Passed,Failed,Blocked,N/A"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workbookViewId="0">
      <selection activeCell="H10" sqref="H10"/>
    </sheetView>
  </sheetViews>
  <sheetFormatPr defaultRowHeight="13.8"/>
  <cols>
    <col min="1" max="1" width="11" customWidth="1"/>
    <col min="2" max="2" width="19" customWidth="1"/>
    <col min="3" max="3" width="29" customWidth="1"/>
    <col min="4" max="4" width="20" customWidth="1"/>
    <col min="5" max="5" width="28" customWidth="1"/>
    <col min="6" max="6" width="14" customWidth="1"/>
    <col min="7" max="7" width="20" customWidth="1"/>
    <col min="8" max="8" width="34" customWidth="1"/>
  </cols>
  <sheetData>
    <row r="1" spans="1:8" ht="34.049999999999997" customHeight="1">
      <c r="A1" s="42" t="s">
        <v>1021</v>
      </c>
      <c r="B1" s="42" t="s">
        <v>1021</v>
      </c>
      <c r="C1" s="42" t="s">
        <v>1021</v>
      </c>
      <c r="D1" s="42" t="s">
        <v>1021</v>
      </c>
      <c r="E1" s="42" t="s">
        <v>1021</v>
      </c>
      <c r="F1" s="42" t="s">
        <v>1021</v>
      </c>
      <c r="G1" s="42" t="s">
        <v>1021</v>
      </c>
      <c r="H1" s="42" t="s">
        <v>1021</v>
      </c>
    </row>
    <row r="2" spans="1:8" ht="25.95" customHeight="1">
      <c r="A2" s="43" t="s">
        <v>1022</v>
      </c>
      <c r="B2" s="43" t="s">
        <v>1022</v>
      </c>
      <c r="C2" s="43" t="s">
        <v>1022</v>
      </c>
      <c r="D2" s="43" t="s">
        <v>1022</v>
      </c>
      <c r="E2" s="43" t="s">
        <v>1022</v>
      </c>
      <c r="F2" s="43" t="s">
        <v>1022</v>
      </c>
      <c r="G2" s="43" t="s">
        <v>1022</v>
      </c>
      <c r="H2" s="43" t="s">
        <v>1022</v>
      </c>
    </row>
    <row r="4" spans="1:8" ht="28.05" customHeight="1">
      <c r="A4" s="16" t="s">
        <v>1023</v>
      </c>
      <c r="B4" s="17" t="s">
        <v>37</v>
      </c>
      <c r="C4" s="17" t="s">
        <v>1024</v>
      </c>
      <c r="D4" s="17" t="s">
        <v>865</v>
      </c>
      <c r="E4" s="17" t="s">
        <v>1025</v>
      </c>
      <c r="F4" s="17" t="s">
        <v>1026</v>
      </c>
      <c r="G4" s="17" t="s">
        <v>1027</v>
      </c>
      <c r="H4" s="18" t="s">
        <v>52</v>
      </c>
    </row>
    <row r="5" spans="1:8" ht="42" customHeight="1">
      <c r="A5" s="4" t="s">
        <v>1028</v>
      </c>
      <c r="B5" s="5" t="s">
        <v>579</v>
      </c>
      <c r="C5" s="5" t="s">
        <v>1029</v>
      </c>
      <c r="D5" s="5" t="s">
        <v>1030</v>
      </c>
      <c r="E5" s="5" t="s">
        <v>1031</v>
      </c>
      <c r="F5" s="5">
        <v>100</v>
      </c>
      <c r="G5" s="5" t="s">
        <v>1032</v>
      </c>
      <c r="H5" s="6" t="s">
        <v>1033</v>
      </c>
    </row>
    <row r="6" spans="1:8" ht="42" customHeight="1">
      <c r="A6" s="7" t="s">
        <v>1034</v>
      </c>
      <c r="B6" s="8" t="s">
        <v>1035</v>
      </c>
      <c r="C6" s="8" t="s">
        <v>1036</v>
      </c>
      <c r="D6" s="8" t="s">
        <v>1037</v>
      </c>
      <c r="E6" s="8" t="s">
        <v>1038</v>
      </c>
      <c r="F6" s="8">
        <v>100</v>
      </c>
      <c r="G6" s="8" t="s">
        <v>1032</v>
      </c>
      <c r="H6" s="9" t="s">
        <v>1039</v>
      </c>
    </row>
    <row r="7" spans="1:8" ht="42" customHeight="1">
      <c r="A7" s="7" t="s">
        <v>1040</v>
      </c>
      <c r="B7" s="8" t="s">
        <v>1041</v>
      </c>
      <c r="C7" s="8" t="s">
        <v>1042</v>
      </c>
      <c r="D7" s="8" t="s">
        <v>216</v>
      </c>
      <c r="E7" s="8" t="s">
        <v>1043</v>
      </c>
      <c r="F7" s="8">
        <v>500</v>
      </c>
      <c r="G7" s="8" t="s">
        <v>1032</v>
      </c>
      <c r="H7" s="9" t="s">
        <v>1044</v>
      </c>
    </row>
    <row r="8" spans="1:8" ht="42" customHeight="1">
      <c r="A8" s="7" t="s">
        <v>1045</v>
      </c>
      <c r="B8" s="8" t="s">
        <v>1046</v>
      </c>
      <c r="C8" s="8" t="s">
        <v>1047</v>
      </c>
      <c r="D8" s="8" t="s">
        <v>1048</v>
      </c>
      <c r="E8" s="8" t="s">
        <v>1043</v>
      </c>
      <c r="F8" s="8">
        <v>200</v>
      </c>
      <c r="G8" s="8" t="s">
        <v>1049</v>
      </c>
      <c r="H8" s="9" t="s">
        <v>1050</v>
      </c>
    </row>
    <row r="9" spans="1:8" ht="42" customHeight="1">
      <c r="A9" s="7" t="s">
        <v>1051</v>
      </c>
      <c r="B9" s="8" t="s">
        <v>1052</v>
      </c>
      <c r="C9" s="8" t="s">
        <v>1053</v>
      </c>
      <c r="D9" s="8" t="s">
        <v>1048</v>
      </c>
      <c r="E9" s="8" t="s">
        <v>1043</v>
      </c>
      <c r="F9" s="8">
        <v>200</v>
      </c>
      <c r="G9" s="8" t="s">
        <v>1049</v>
      </c>
      <c r="H9" s="9" t="s">
        <v>1054</v>
      </c>
    </row>
    <row r="10" spans="1:8" ht="42" customHeight="1">
      <c r="A10" s="7" t="s">
        <v>1055</v>
      </c>
      <c r="B10" s="8" t="s">
        <v>1056</v>
      </c>
      <c r="C10" s="8" t="s">
        <v>1057</v>
      </c>
      <c r="D10" s="8" t="s">
        <v>1058</v>
      </c>
      <c r="E10" s="8" t="s">
        <v>1043</v>
      </c>
      <c r="F10" s="8">
        <v>120</v>
      </c>
      <c r="G10" s="8" t="s">
        <v>1059</v>
      </c>
      <c r="H10" s="9" t="s">
        <v>1060</v>
      </c>
    </row>
    <row r="11" spans="1:8" ht="42" customHeight="1">
      <c r="A11" s="7" t="s">
        <v>1061</v>
      </c>
      <c r="B11" s="8" t="s">
        <v>624</v>
      </c>
      <c r="C11" s="8" t="s">
        <v>1062</v>
      </c>
      <c r="D11" s="8" t="s">
        <v>216</v>
      </c>
      <c r="E11" s="8" t="s">
        <v>1063</v>
      </c>
      <c r="F11" s="8">
        <v>30</v>
      </c>
      <c r="G11" s="8" t="s">
        <v>1032</v>
      </c>
      <c r="H11" s="9" t="s">
        <v>1064</v>
      </c>
    </row>
    <row r="12" spans="1:8" ht="42" customHeight="1">
      <c r="A12" s="7" t="s">
        <v>1065</v>
      </c>
      <c r="B12" s="8" t="s">
        <v>1066</v>
      </c>
      <c r="C12" s="8" t="s">
        <v>1067</v>
      </c>
      <c r="D12" s="8" t="s">
        <v>1068</v>
      </c>
      <c r="E12" s="8" t="s">
        <v>1069</v>
      </c>
      <c r="F12" s="8">
        <v>30</v>
      </c>
      <c r="G12" s="8" t="s">
        <v>1049</v>
      </c>
      <c r="H12" s="9"/>
    </row>
    <row r="13" spans="1:8" ht="42" customHeight="1">
      <c r="A13" s="7" t="s">
        <v>1070</v>
      </c>
      <c r="B13" s="8" t="s">
        <v>1071</v>
      </c>
      <c r="C13" s="8" t="s">
        <v>1072</v>
      </c>
      <c r="D13" s="8" t="s">
        <v>1068</v>
      </c>
      <c r="E13" s="8" t="s">
        <v>1073</v>
      </c>
      <c r="F13" s="8">
        <v>30</v>
      </c>
      <c r="G13" s="8" t="s">
        <v>1032</v>
      </c>
      <c r="H13" s="9"/>
    </row>
    <row r="14" spans="1:8" ht="42" customHeight="1">
      <c r="A14" s="7" t="s">
        <v>1074</v>
      </c>
      <c r="B14" s="8" t="s">
        <v>1075</v>
      </c>
      <c r="C14" s="8" t="s">
        <v>1076</v>
      </c>
      <c r="D14" s="8" t="s">
        <v>1077</v>
      </c>
      <c r="E14" s="8" t="s">
        <v>1078</v>
      </c>
      <c r="F14" s="8">
        <v>30</v>
      </c>
      <c r="G14" s="8" t="s">
        <v>1049</v>
      </c>
      <c r="H14" s="9" t="s">
        <v>1079</v>
      </c>
    </row>
    <row r="15" spans="1:8" ht="42" customHeight="1">
      <c r="A15" s="7" t="s">
        <v>1080</v>
      </c>
      <c r="B15" s="8" t="s">
        <v>1081</v>
      </c>
      <c r="C15" s="8" t="s">
        <v>1082</v>
      </c>
      <c r="D15" s="8" t="s">
        <v>1083</v>
      </c>
      <c r="E15" s="8" t="s">
        <v>1078</v>
      </c>
      <c r="F15" s="8">
        <v>30</v>
      </c>
      <c r="G15" s="8" t="s">
        <v>1049</v>
      </c>
      <c r="H15" s="9" t="s">
        <v>1079</v>
      </c>
    </row>
    <row r="16" spans="1:8" ht="42" customHeight="1">
      <c r="A16" s="7" t="s">
        <v>1084</v>
      </c>
      <c r="B16" s="8" t="s">
        <v>741</v>
      </c>
      <c r="C16" s="8" t="s">
        <v>1085</v>
      </c>
      <c r="D16" s="8" t="s">
        <v>740</v>
      </c>
      <c r="E16" s="8" t="s">
        <v>1086</v>
      </c>
      <c r="F16" s="8">
        <v>100</v>
      </c>
      <c r="G16" s="8" t="s">
        <v>1032</v>
      </c>
      <c r="H16" s="9"/>
    </row>
    <row r="17" spans="1:8" ht="42" customHeight="1">
      <c r="A17" s="7" t="s">
        <v>1087</v>
      </c>
      <c r="B17" s="8" t="s">
        <v>1088</v>
      </c>
      <c r="C17" s="8" t="s">
        <v>1089</v>
      </c>
      <c r="D17" s="8" t="s">
        <v>1090</v>
      </c>
      <c r="E17" s="8" t="s">
        <v>1091</v>
      </c>
      <c r="F17" s="8">
        <v>10</v>
      </c>
      <c r="G17" s="8" t="s">
        <v>1032</v>
      </c>
      <c r="H17" s="9"/>
    </row>
    <row r="18" spans="1:8" ht="42" customHeight="1">
      <c r="A18" s="7" t="s">
        <v>1092</v>
      </c>
      <c r="B18" s="8" t="s">
        <v>1093</v>
      </c>
      <c r="C18" s="8" t="s">
        <v>1094</v>
      </c>
      <c r="D18" s="8" t="s">
        <v>1090</v>
      </c>
      <c r="E18" s="8" t="s">
        <v>1095</v>
      </c>
      <c r="F18" s="8">
        <v>10</v>
      </c>
      <c r="G18" s="8" t="s">
        <v>1032</v>
      </c>
      <c r="H18" s="9" t="s">
        <v>1096</v>
      </c>
    </row>
    <row r="19" spans="1:8" ht="42" customHeight="1">
      <c r="A19" s="7" t="s">
        <v>1097</v>
      </c>
      <c r="B19" s="8" t="s">
        <v>757</v>
      </c>
      <c r="C19" s="8" t="s">
        <v>1098</v>
      </c>
      <c r="D19" s="8" t="s">
        <v>756</v>
      </c>
      <c r="E19" s="8" t="s">
        <v>1099</v>
      </c>
      <c r="F19" s="8">
        <v>1</v>
      </c>
      <c r="G19" s="8" t="s">
        <v>1032</v>
      </c>
      <c r="H19" s="9"/>
    </row>
    <row r="20" spans="1:8" ht="42" customHeight="1">
      <c r="A20" s="10" t="s">
        <v>1100</v>
      </c>
      <c r="B20" s="11" t="s">
        <v>766</v>
      </c>
      <c r="C20" s="11" t="s">
        <v>1101</v>
      </c>
      <c r="D20" s="11" t="s">
        <v>1102</v>
      </c>
      <c r="E20" s="11" t="s">
        <v>1103</v>
      </c>
      <c r="F20" s="11">
        <v>1</v>
      </c>
      <c r="G20" s="11" t="s">
        <v>1032</v>
      </c>
      <c r="H20" s="12" t="s">
        <v>1104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workbookViewId="0">
      <selection sqref="A1:H1"/>
    </sheetView>
  </sheetViews>
  <sheetFormatPr defaultRowHeight="13.8"/>
  <cols>
    <col min="1" max="1" width="10" customWidth="1"/>
    <col min="2" max="2" width="12" customWidth="1"/>
    <col min="3" max="4" width="34" customWidth="1"/>
    <col min="5" max="5" width="32" customWidth="1"/>
    <col min="6" max="6" width="38" customWidth="1"/>
    <col min="7" max="7" width="16" customWidth="1"/>
    <col min="8" max="8" width="14" customWidth="1"/>
  </cols>
  <sheetData>
    <row r="1" spans="1:8" ht="34.049999999999997" customHeight="1">
      <c r="A1" s="42" t="s">
        <v>1105</v>
      </c>
      <c r="B1" s="42" t="s">
        <v>1105</v>
      </c>
      <c r="C1" s="42" t="s">
        <v>1105</v>
      </c>
      <c r="D1" s="42" t="s">
        <v>1105</v>
      </c>
      <c r="E1" s="42" t="s">
        <v>1105</v>
      </c>
      <c r="F1" s="42" t="s">
        <v>1105</v>
      </c>
      <c r="G1" s="42" t="s">
        <v>1105</v>
      </c>
      <c r="H1" s="42" t="s">
        <v>1105</v>
      </c>
    </row>
    <row r="2" spans="1:8" ht="25.95" customHeight="1">
      <c r="A2" s="43" t="s">
        <v>1106</v>
      </c>
      <c r="B2" s="43" t="s">
        <v>1106</v>
      </c>
      <c r="C2" s="43" t="s">
        <v>1106</v>
      </c>
      <c r="D2" s="43" t="s">
        <v>1106</v>
      </c>
      <c r="E2" s="43" t="s">
        <v>1106</v>
      </c>
      <c r="F2" s="43" t="s">
        <v>1106</v>
      </c>
      <c r="G2" s="43" t="s">
        <v>1106</v>
      </c>
      <c r="H2" s="43" t="s">
        <v>1106</v>
      </c>
    </row>
    <row r="4" spans="1:8" ht="28.05" customHeight="1">
      <c r="A4" s="16" t="s">
        <v>861</v>
      </c>
      <c r="B4" s="17" t="s">
        <v>1107</v>
      </c>
      <c r="C4" s="17" t="s">
        <v>1108</v>
      </c>
      <c r="D4" s="17" t="s">
        <v>1109</v>
      </c>
      <c r="E4" s="17" t="s">
        <v>1110</v>
      </c>
      <c r="F4" s="17" t="s">
        <v>1111</v>
      </c>
      <c r="G4" s="17" t="s">
        <v>1112</v>
      </c>
      <c r="H4" s="18" t="s">
        <v>6</v>
      </c>
    </row>
    <row r="5" spans="1:8" ht="58.05" customHeight="1">
      <c r="A5" s="4" t="s">
        <v>1113</v>
      </c>
      <c r="B5" s="5" t="s">
        <v>1114</v>
      </c>
      <c r="C5" s="5" t="s">
        <v>1115</v>
      </c>
      <c r="D5" s="5" t="s">
        <v>1116</v>
      </c>
      <c r="E5" s="5" t="s">
        <v>1117</v>
      </c>
      <c r="F5" s="5" t="s">
        <v>1118</v>
      </c>
      <c r="G5" s="5" t="s">
        <v>1119</v>
      </c>
      <c r="H5" s="6" t="s">
        <v>1120</v>
      </c>
    </row>
    <row r="6" spans="1:8" ht="58.05" customHeight="1">
      <c r="A6" s="7" t="s">
        <v>1121</v>
      </c>
      <c r="B6" s="8" t="s">
        <v>1049</v>
      </c>
      <c r="C6" s="8" t="s">
        <v>1122</v>
      </c>
      <c r="D6" s="8" t="s">
        <v>1123</v>
      </c>
      <c r="E6" s="8" t="s">
        <v>1124</v>
      </c>
      <c r="F6" s="8" t="s">
        <v>1125</v>
      </c>
      <c r="G6" s="8" t="s">
        <v>1126</v>
      </c>
      <c r="H6" s="9" t="s">
        <v>1120</v>
      </c>
    </row>
    <row r="7" spans="1:8" ht="58.05" customHeight="1">
      <c r="A7" s="7" t="s">
        <v>1127</v>
      </c>
      <c r="B7" s="8" t="s">
        <v>1059</v>
      </c>
      <c r="C7" s="8" t="s">
        <v>1128</v>
      </c>
      <c r="D7" s="8" t="s">
        <v>1129</v>
      </c>
      <c r="E7" s="8" t="s">
        <v>1130</v>
      </c>
      <c r="F7" s="8" t="s">
        <v>1131</v>
      </c>
      <c r="G7" s="8" t="s">
        <v>1132</v>
      </c>
      <c r="H7" s="9" t="s">
        <v>1120</v>
      </c>
    </row>
    <row r="8" spans="1:8" ht="58.05" customHeight="1">
      <c r="A8" s="7" t="s">
        <v>1133</v>
      </c>
      <c r="B8" s="8" t="s">
        <v>1059</v>
      </c>
      <c r="C8" s="8" t="s">
        <v>1134</v>
      </c>
      <c r="D8" s="8" t="s">
        <v>1129</v>
      </c>
      <c r="E8" s="8" t="s">
        <v>1135</v>
      </c>
      <c r="F8" s="8" t="s">
        <v>1131</v>
      </c>
      <c r="G8" s="8" t="s">
        <v>1132</v>
      </c>
      <c r="H8" s="9" t="s">
        <v>1120</v>
      </c>
    </row>
    <row r="9" spans="1:8" ht="58.05" customHeight="1">
      <c r="A9" s="7" t="s">
        <v>1136</v>
      </c>
      <c r="B9" s="8" t="s">
        <v>1049</v>
      </c>
      <c r="C9" s="8" t="s">
        <v>1137</v>
      </c>
      <c r="D9" s="8" t="s">
        <v>1138</v>
      </c>
      <c r="E9" s="8" t="s">
        <v>1139</v>
      </c>
      <c r="F9" s="8" t="s">
        <v>1140</v>
      </c>
      <c r="G9" s="8" t="s">
        <v>1126</v>
      </c>
      <c r="H9" s="9" t="s">
        <v>1120</v>
      </c>
    </row>
    <row r="10" spans="1:8" ht="58.05" customHeight="1">
      <c r="A10" s="7" t="s">
        <v>1141</v>
      </c>
      <c r="B10" s="8" t="s">
        <v>1114</v>
      </c>
      <c r="C10" s="8" t="s">
        <v>1142</v>
      </c>
      <c r="D10" s="8" t="s">
        <v>1143</v>
      </c>
      <c r="E10" s="8" t="s">
        <v>1144</v>
      </c>
      <c r="F10" s="8" t="s">
        <v>1145</v>
      </c>
      <c r="G10" s="8" t="s">
        <v>180</v>
      </c>
      <c r="H10" s="9" t="s">
        <v>1120</v>
      </c>
    </row>
    <row r="11" spans="1:8" ht="58.05" customHeight="1">
      <c r="A11" s="7" t="s">
        <v>1146</v>
      </c>
      <c r="B11" s="8" t="s">
        <v>1114</v>
      </c>
      <c r="C11" s="8" t="s">
        <v>1147</v>
      </c>
      <c r="D11" s="8" t="s">
        <v>1148</v>
      </c>
      <c r="E11" s="8" t="s">
        <v>1149</v>
      </c>
      <c r="F11" s="8" t="s">
        <v>1150</v>
      </c>
      <c r="G11" s="8" t="s">
        <v>180</v>
      </c>
      <c r="H11" s="9" t="s">
        <v>1120</v>
      </c>
    </row>
    <row r="12" spans="1:8" ht="58.05" customHeight="1">
      <c r="A12" s="7" t="s">
        <v>1151</v>
      </c>
      <c r="B12" s="8" t="s">
        <v>1152</v>
      </c>
      <c r="C12" s="8" t="s">
        <v>1153</v>
      </c>
      <c r="D12" s="8" t="s">
        <v>1154</v>
      </c>
      <c r="E12" s="8" t="s">
        <v>1155</v>
      </c>
      <c r="F12" s="8" t="s">
        <v>1156</v>
      </c>
      <c r="G12" s="8" t="s">
        <v>1119</v>
      </c>
      <c r="H12" s="9" t="s">
        <v>1157</v>
      </c>
    </row>
    <row r="13" spans="1:8" ht="58.05" customHeight="1">
      <c r="A13" s="10" t="s">
        <v>1158</v>
      </c>
      <c r="B13" s="11" t="s">
        <v>1152</v>
      </c>
      <c r="C13" s="11" t="s">
        <v>1159</v>
      </c>
      <c r="D13" s="11" t="s">
        <v>1160</v>
      </c>
      <c r="E13" s="11" t="s">
        <v>1161</v>
      </c>
      <c r="F13" s="11" t="s">
        <v>1162</v>
      </c>
      <c r="G13" s="11" t="s">
        <v>1163</v>
      </c>
      <c r="H13" s="12" t="s">
        <v>872</v>
      </c>
    </row>
  </sheetData>
  <mergeCells count="2">
    <mergeCell ref="A1:H1"/>
    <mergeCell ref="A2:H2"/>
  </mergeCells>
  <conditionalFormatting sqref="B5:B13">
    <cfRule type="containsText" dxfId="1" priority="1" operator="containsText" text="Blocker"/>
    <cfRule type="containsText" dxfId="0" priority="2" operator="containsText" text="High"/>
  </conditionalFormatting>
  <dataValidations count="1">
    <dataValidation type="list" sqref="H5:H13" xr:uid="{00000000-0002-0000-0700-000000000000}">
      <formula1>"Open,In Progress,Fixed,Accepted,Planned,Closed"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Test Cases</vt:lpstr>
      <vt:lpstr>Voice Matrix</vt:lpstr>
      <vt:lpstr>Child Plan</vt:lpstr>
      <vt:lpstr>Device Matrix</vt:lpstr>
      <vt:lpstr>Execution Log</vt:lpstr>
      <vt:lpstr>Acceptance</vt:lpstr>
      <vt:lpstr>Initial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2026-08-17T10:33:45Z</dcterms:modified>
</cp:coreProperties>
</file>