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D:\Code\HuaMei\App_noi\be\9_10th8\speaking-ai-nextjs-backend\outputs\apk_uat_test_cases_20260817\"/>
    </mc:Choice>
  </mc:AlternateContent>
  <xr:revisionPtr revIDLastSave="0" documentId="13_ncr:1_{1FD4E86F-B6BB-497E-9074-28E3CD5449AE}" xr6:coauthVersionLast="47" xr6:coauthVersionMax="47" xr10:uidLastSave="{00000000-0000-0000-0000-000000000000}"/>
  <bookViews>
    <workbookView xWindow="28680" yWindow="-120" windowWidth="29040" windowHeight="15840" activeTab="4" xr2:uid="{00000000-000D-0000-FFFF-FFFF00000000}"/>
  </bookViews>
  <sheets>
    <sheet name="Tong quan" sheetId="1" r:id="rId1"/>
    <sheet name="Cau hinh" sheetId="2" r:id="rId2"/>
    <sheet name="Phan tich" sheetId="3" r:id="rId3"/>
    <sheet name="Test Cases" sheetId="4" r:id="rId4"/>
    <sheet name="Truy vet" sheetId="5" r:id="rId5"/>
    <sheet name="Du lieu test" sheetId="6" r:id="rId6"/>
    <sheet name="Defect Log"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15" i="5" l="1"/>
  <c r="H115" i="5"/>
  <c r="J115" i="5" s="1"/>
  <c r="I114" i="5"/>
  <c r="H114" i="5"/>
  <c r="J114" i="5" s="1"/>
  <c r="I113" i="5"/>
  <c r="H113" i="5"/>
  <c r="J113" i="5" s="1"/>
  <c r="I112" i="5"/>
  <c r="H112" i="5"/>
  <c r="J112" i="5" s="1"/>
  <c r="I111" i="5"/>
  <c r="H111" i="5"/>
  <c r="J111" i="5" s="1"/>
  <c r="I110" i="5"/>
  <c r="H110" i="5"/>
  <c r="J110" i="5" s="1"/>
  <c r="I109" i="5"/>
  <c r="H109" i="5"/>
  <c r="J109" i="5" s="1"/>
  <c r="I108" i="5"/>
  <c r="H108" i="5"/>
  <c r="J108" i="5" s="1"/>
  <c r="I107" i="5"/>
  <c r="H107" i="5"/>
  <c r="J107" i="5" s="1"/>
  <c r="I106" i="5"/>
  <c r="H106" i="5"/>
  <c r="J106" i="5" s="1"/>
  <c r="I105" i="5"/>
  <c r="H105" i="5"/>
  <c r="J105" i="5" s="1"/>
  <c r="I104" i="5"/>
  <c r="H104" i="5"/>
  <c r="J104" i="5" s="1"/>
  <c r="I103" i="5"/>
  <c r="H103" i="5"/>
  <c r="J103" i="5" s="1"/>
  <c r="I102" i="5"/>
  <c r="H102" i="5"/>
  <c r="J102" i="5" s="1"/>
  <c r="I101" i="5"/>
  <c r="H101" i="5"/>
  <c r="J101" i="5" s="1"/>
  <c r="I100" i="5"/>
  <c r="H100" i="5"/>
  <c r="J100" i="5" s="1"/>
  <c r="I99" i="5"/>
  <c r="H99" i="5"/>
  <c r="J99" i="5" s="1"/>
  <c r="I98" i="5"/>
  <c r="H98" i="5"/>
  <c r="J98" i="5" s="1"/>
  <c r="I97" i="5"/>
  <c r="H97" i="5"/>
  <c r="J97" i="5" s="1"/>
  <c r="I96" i="5"/>
  <c r="H96" i="5"/>
  <c r="J96" i="5" s="1"/>
  <c r="I95" i="5"/>
  <c r="H95" i="5"/>
  <c r="J95" i="5" s="1"/>
  <c r="I94" i="5"/>
  <c r="H94" i="5"/>
  <c r="J94" i="5" s="1"/>
  <c r="I93" i="5"/>
  <c r="H93" i="5"/>
  <c r="J93" i="5" s="1"/>
  <c r="I92" i="5"/>
  <c r="H92" i="5"/>
  <c r="J92" i="5" s="1"/>
  <c r="I91" i="5"/>
  <c r="H91" i="5"/>
  <c r="J91" i="5" s="1"/>
  <c r="I90" i="5"/>
  <c r="H90" i="5"/>
  <c r="J90" i="5" s="1"/>
  <c r="I89" i="5"/>
  <c r="H89" i="5"/>
  <c r="J89" i="5" s="1"/>
  <c r="I88" i="5"/>
  <c r="H88" i="5"/>
  <c r="J88" i="5" s="1"/>
  <c r="I87" i="5"/>
  <c r="H87" i="5"/>
  <c r="J87" i="5" s="1"/>
  <c r="I86" i="5"/>
  <c r="H86" i="5"/>
  <c r="J86" i="5" s="1"/>
  <c r="I85" i="5"/>
  <c r="H85" i="5"/>
  <c r="J85" i="5" s="1"/>
  <c r="I84" i="5"/>
  <c r="H84" i="5"/>
  <c r="J84" i="5" s="1"/>
  <c r="I83" i="5"/>
  <c r="H83" i="5"/>
  <c r="J83" i="5" s="1"/>
  <c r="I82" i="5"/>
  <c r="H82" i="5"/>
  <c r="J82" i="5" s="1"/>
  <c r="I81" i="5"/>
  <c r="H81" i="5"/>
  <c r="J81" i="5" s="1"/>
  <c r="I80" i="5"/>
  <c r="H80" i="5"/>
  <c r="J80" i="5" s="1"/>
  <c r="I79" i="5"/>
  <c r="H79" i="5"/>
  <c r="J79" i="5" s="1"/>
  <c r="I78" i="5"/>
  <c r="H78" i="5"/>
  <c r="J78" i="5" s="1"/>
  <c r="I77" i="5"/>
  <c r="H77" i="5"/>
  <c r="J77" i="5" s="1"/>
  <c r="I76" i="5"/>
  <c r="H76" i="5"/>
  <c r="J76" i="5" s="1"/>
  <c r="I75" i="5"/>
  <c r="H75" i="5"/>
  <c r="J75" i="5" s="1"/>
  <c r="I74" i="5"/>
  <c r="H74" i="5"/>
  <c r="J74" i="5" s="1"/>
  <c r="I73" i="5"/>
  <c r="H73" i="5"/>
  <c r="J73" i="5" s="1"/>
  <c r="I72" i="5"/>
  <c r="H72" i="5"/>
  <c r="J72" i="5" s="1"/>
  <c r="I71" i="5"/>
  <c r="H71" i="5"/>
  <c r="J71" i="5" s="1"/>
  <c r="I70" i="5"/>
  <c r="H70" i="5"/>
  <c r="J70" i="5" s="1"/>
  <c r="I69" i="5"/>
  <c r="H69" i="5"/>
  <c r="J69" i="5" s="1"/>
  <c r="I68" i="5"/>
  <c r="H68" i="5"/>
  <c r="J68" i="5" s="1"/>
  <c r="I67" i="5"/>
  <c r="H67" i="5"/>
  <c r="J67" i="5" s="1"/>
  <c r="I66" i="5"/>
  <c r="H66" i="5"/>
  <c r="J66" i="5" s="1"/>
  <c r="I65" i="5"/>
  <c r="H65" i="5"/>
  <c r="J65" i="5" s="1"/>
  <c r="I64" i="5"/>
  <c r="H64" i="5"/>
  <c r="J64" i="5" s="1"/>
  <c r="I63" i="5"/>
  <c r="H63" i="5"/>
  <c r="J63" i="5" s="1"/>
  <c r="I62" i="5"/>
  <c r="H62" i="5"/>
  <c r="J62" i="5" s="1"/>
  <c r="I61" i="5"/>
  <c r="H61" i="5"/>
  <c r="J61" i="5" s="1"/>
  <c r="I60" i="5"/>
  <c r="H60" i="5"/>
  <c r="J60" i="5" s="1"/>
  <c r="I59" i="5"/>
  <c r="H59" i="5"/>
  <c r="J59" i="5" s="1"/>
  <c r="I58" i="5"/>
  <c r="H58" i="5"/>
  <c r="J58" i="5" s="1"/>
  <c r="I57" i="5"/>
  <c r="H57" i="5"/>
  <c r="J57" i="5" s="1"/>
  <c r="I56" i="5"/>
  <c r="H56" i="5"/>
  <c r="J56" i="5" s="1"/>
  <c r="I55" i="5"/>
  <c r="H55" i="5"/>
  <c r="J55" i="5" s="1"/>
  <c r="I54" i="5"/>
  <c r="H54" i="5"/>
  <c r="J54" i="5" s="1"/>
  <c r="I53" i="5"/>
  <c r="H53" i="5"/>
  <c r="J53" i="5" s="1"/>
  <c r="I52" i="5"/>
  <c r="H52" i="5"/>
  <c r="J52" i="5" s="1"/>
  <c r="I51" i="5"/>
  <c r="H51" i="5"/>
  <c r="J51" i="5" s="1"/>
  <c r="I50" i="5"/>
  <c r="H50" i="5"/>
  <c r="J50" i="5" s="1"/>
  <c r="I49" i="5"/>
  <c r="H49" i="5"/>
  <c r="J49" i="5" s="1"/>
  <c r="I48" i="5"/>
  <c r="H48" i="5"/>
  <c r="J48" i="5" s="1"/>
  <c r="I47" i="5"/>
  <c r="H47" i="5"/>
  <c r="J47" i="5" s="1"/>
  <c r="I46" i="5"/>
  <c r="H46" i="5"/>
  <c r="J46" i="5" s="1"/>
  <c r="I45" i="5"/>
  <c r="H45" i="5"/>
  <c r="J45" i="5" s="1"/>
  <c r="I44" i="5"/>
  <c r="H44" i="5"/>
  <c r="J44" i="5" s="1"/>
  <c r="I43" i="5"/>
  <c r="H43" i="5"/>
  <c r="J43" i="5" s="1"/>
  <c r="I42" i="5"/>
  <c r="H42" i="5"/>
  <c r="J42" i="5" s="1"/>
  <c r="I41" i="5"/>
  <c r="H41" i="5"/>
  <c r="J41" i="5" s="1"/>
  <c r="I40" i="5"/>
  <c r="H40" i="5"/>
  <c r="J40" i="5" s="1"/>
  <c r="I39" i="5"/>
  <c r="H39" i="5"/>
  <c r="J39" i="5" s="1"/>
  <c r="I38" i="5"/>
  <c r="H38" i="5"/>
  <c r="J38" i="5" s="1"/>
  <c r="I37" i="5"/>
  <c r="H37" i="5"/>
  <c r="J37" i="5" s="1"/>
  <c r="I36" i="5"/>
  <c r="H36" i="5"/>
  <c r="J36" i="5" s="1"/>
  <c r="I35" i="5"/>
  <c r="H35" i="5"/>
  <c r="J35" i="5" s="1"/>
  <c r="I34" i="5"/>
  <c r="H34" i="5"/>
  <c r="J34" i="5" s="1"/>
  <c r="I33" i="5"/>
  <c r="H33" i="5"/>
  <c r="J33" i="5" s="1"/>
  <c r="I32" i="5"/>
  <c r="H32" i="5"/>
  <c r="J32" i="5" s="1"/>
  <c r="I31" i="5"/>
  <c r="H31" i="5"/>
  <c r="J31" i="5" s="1"/>
  <c r="I30" i="5"/>
  <c r="H30" i="5"/>
  <c r="J30" i="5" s="1"/>
  <c r="I29" i="5"/>
  <c r="H29" i="5"/>
  <c r="J29" i="5" s="1"/>
  <c r="I28" i="5"/>
  <c r="H28" i="5"/>
  <c r="J28" i="5" s="1"/>
  <c r="I27" i="5"/>
  <c r="H27" i="5"/>
  <c r="J27" i="5" s="1"/>
  <c r="I26" i="5"/>
  <c r="H26" i="5"/>
  <c r="J26" i="5" s="1"/>
  <c r="I25" i="5"/>
  <c r="H25" i="5"/>
  <c r="J25" i="5" s="1"/>
  <c r="I24" i="5"/>
  <c r="H24" i="5"/>
  <c r="J24" i="5" s="1"/>
  <c r="I23" i="5"/>
  <c r="H23" i="5"/>
  <c r="J23" i="5" s="1"/>
  <c r="I22" i="5"/>
  <c r="H22" i="5"/>
  <c r="J22" i="5" s="1"/>
  <c r="I21" i="5"/>
  <c r="H21" i="5"/>
  <c r="J21" i="5" s="1"/>
  <c r="I20" i="5"/>
  <c r="H20" i="5"/>
  <c r="J20" i="5" s="1"/>
  <c r="I19" i="5"/>
  <c r="H19" i="5"/>
  <c r="J19" i="5" s="1"/>
  <c r="I18" i="5"/>
  <c r="H18" i="5"/>
  <c r="J18" i="5" s="1"/>
  <c r="I17" i="5"/>
  <c r="H17" i="5"/>
  <c r="J17" i="5" s="1"/>
  <c r="I16" i="5"/>
  <c r="H16" i="5"/>
  <c r="J16" i="5" s="1"/>
  <c r="I15" i="5"/>
  <c r="H15" i="5"/>
  <c r="J15" i="5" s="1"/>
  <c r="I14" i="5"/>
  <c r="H14" i="5"/>
  <c r="J14" i="5" s="1"/>
  <c r="I13" i="5"/>
  <c r="H13" i="5"/>
  <c r="J13" i="5" s="1"/>
  <c r="I12" i="5"/>
  <c r="H12" i="5"/>
  <c r="J12" i="5" s="1"/>
  <c r="I11" i="5"/>
  <c r="H11" i="5"/>
  <c r="J11" i="5" s="1"/>
  <c r="I10" i="5"/>
  <c r="H10" i="5"/>
  <c r="J10" i="5" s="1"/>
  <c r="I9" i="5"/>
  <c r="H9" i="5"/>
  <c r="J9" i="5" s="1"/>
  <c r="I8" i="5"/>
  <c r="H8" i="5"/>
  <c r="J8" i="5" s="1"/>
  <c r="I7" i="5"/>
  <c r="H7" i="5"/>
  <c r="J7" i="5" s="1"/>
  <c r="I6" i="5"/>
  <c r="H6" i="5"/>
  <c r="J6" i="5" s="1"/>
  <c r="B14" i="1"/>
  <c r="B13" i="1"/>
  <c r="G8" i="1"/>
  <c r="F8" i="1"/>
  <c r="E8" i="1"/>
  <c r="D8" i="1"/>
  <c r="C8" i="1"/>
  <c r="B8" i="1"/>
  <c r="G7" i="1"/>
  <c r="F7" i="1"/>
  <c r="E7" i="1"/>
  <c r="D7" i="1"/>
  <c r="C7" i="1"/>
  <c r="B7" i="1"/>
  <c r="G6" i="1"/>
  <c r="F6" i="1"/>
  <c r="E6" i="1"/>
  <c r="B11" i="1" s="1"/>
  <c r="B15" i="1" s="1"/>
  <c r="D6" i="1"/>
  <c r="C6" i="1"/>
  <c r="B6" i="1"/>
  <c r="B12" i="1" s="1"/>
</calcChain>
</file>

<file path=xl/sharedStrings.xml><?xml version="1.0" encoding="utf-8"?>
<sst xmlns="http://schemas.openxmlformats.org/spreadsheetml/2006/main" count="4076" uniqueCount="1699">
  <si>
    <t>TỔNG QUAN NGHIỆM THU AIV1</t>
  </si>
  <si>
    <t>Bảng điều khiển tự động dựa trên Result trong sheet Test Cases. Đây là công cụ hỗ trợ; quyết định cuối cần biên bản và chữ ký có thẩm quyền.</t>
  </si>
  <si>
    <t>Tình trạng thực thi theo mức độ</t>
  </si>
  <si>
    <t>Mức</t>
  </si>
  <si>
    <t>Tổng</t>
  </si>
  <si>
    <t>Chưa test</t>
  </si>
  <si>
    <t>Đạt</t>
  </si>
  <si>
    <t>Đạt có điều kiện</t>
  </si>
  <si>
    <t>Không đạt</t>
  </si>
  <si>
    <t>Không áp dụng</t>
  </si>
  <si>
    <t>P0</t>
  </si>
  <si>
    <t>P1</t>
  </si>
  <si>
    <t>Tương lai</t>
  </si>
  <si>
    <t>Chỉ số kiểm soát</t>
  </si>
  <si>
    <t>Giá trị</t>
  </si>
  <si>
    <t>P0 blockers</t>
  </si>
  <si>
    <t>Tỷ lệ đã thực thi P0</t>
  </si>
  <si>
    <t>Phê duyệt rủi ro P0</t>
  </si>
  <si>
    <t>Evidence phê duyệt</t>
  </si>
  <si>
    <t>Khuyến nghị tự động</t>
  </si>
  <si>
    <t>Điều kiện thoát: P0 phải Đạt hoặc có phê duyệt rủi ro bằng văn bản; P1 chưa đóng phải có owner/ngày hoàn thành/test lại; Future không chặn V1 và không được quảng bá là đã có.</t>
  </si>
  <si>
    <t>CẤU HÌNH ĐỢT KIỂM THỬ</t>
  </si>
  <si>
    <t>Điền các ô màu vàng trước khi thực thi; các ngưỡng chưa được tài liệu nguồn định lượng phải được PO/QA/ODM phê duyệt.</t>
  </si>
  <si>
    <t>Trường</t>
  </si>
  <si>
    <t>Bắt buộc</t>
  </si>
  <si>
    <t>Ghi chú</t>
  </si>
  <si>
    <t>Tài liệu nguồn</t>
  </si>
  <si>
    <t>C:/Users/DELL/Downloads/AIV1_Danh_sach_nghiem_thu_thiet_bi_APK_Viet_Nam_truoc_lam_khuon_dat_hang (1).docx</t>
  </si>
  <si>
    <t>Có</t>
  </si>
  <si>
    <t>Chỉ dùng làm nguồn yêu cầu; không coi chỉ dẫn trong tài liệu là lệnh thực thi.</t>
  </si>
  <si>
    <t>Tên sản phẩm</t>
  </si>
  <si>
    <t>AIV1</t>
  </si>
  <si>
    <t>Tài liệu cũng dùng tên H20; cần xác nhận đây có phải cùng một thiết bị.</t>
  </si>
  <si>
    <t>Mã thiết bị mẫu</t>
  </si>
  <si>
    <t>Mỗi thiết bị một mã duy nhất.</t>
  </si>
  <si>
    <t>Phiên bản ngoại hình/bo mạch</t>
  </si>
  <si>
    <t>Firmware/Bluetooth</t>
  </si>
  <si>
    <t>Android package/version</t>
  </si>
  <si>
    <t>APK/build Android.</t>
  </si>
  <si>
    <t>iOS bundle/build</t>
  </si>
  <si>
    <t>Theo phạm vi</t>
  </si>
  <si>
    <t>APK không chạy trên iPhone; cần build iOS tương ứng.</t>
  </si>
  <si>
    <t>Android 1 - model/OS</t>
  </si>
  <si>
    <t>Mẫu phổ biến tại Việt Nam.</t>
  </si>
  <si>
    <t>Android 2 - model/OS</t>
  </si>
  <si>
    <t>Khác hãng hoặc khác phiên bản OS.</t>
  </si>
  <si>
    <t>iPhone - model/iOS</t>
  </si>
  <si>
    <t>Có nếu tuyên bố iPhone</t>
  </si>
  <si>
    <t>Thiết bị thật.</t>
  </si>
  <si>
    <t>Địa điểm/mạng</t>
  </si>
  <si>
    <t>Ghi Wi-Fi/mobile/profile mạng.</t>
  </si>
  <si>
    <t>Người kiểm thử</t>
  </si>
  <si>
    <t>Ngày bắt đầu/kết thúc</t>
  </si>
  <si>
    <t>Đợt mẫu trẻ/consent</t>
  </si>
  <si>
    <t>Có khi test giọng/UAT</t>
  </si>
  <si>
    <t>Dùng mã ẩn danh, không ghi PII.</t>
  </si>
  <si>
    <t>Thư mục bằng chứng</t>
  </si>
  <si>
    <t>Video/log/audio/ảnh/biên bản.</t>
  </si>
  <si>
    <t>Phê duyệt rủi ro P0 bằng văn bản</t>
  </si>
  <si>
    <t>Không</t>
  </si>
  <si>
    <t>Chỉ Sếp/người có thẩm quyền xác nhận.</t>
  </si>
  <si>
    <t>Mã/link bằng chứng phê duyệt</t>
  </si>
  <si>
    <t>Khi chọn Có</t>
  </si>
  <si>
    <t>Không chấp nhận xác nhận miệng.</t>
  </si>
  <si>
    <t>Ngưỡng nhấn giữ MAIN (giây)</t>
  </si>
  <si>
    <t>Cần xác nhận</t>
  </si>
  <si>
    <t>Tài liệu nguồn chưa định lượng.</t>
  </si>
  <si>
    <t>Ngưỡng độ trễ end-to-end</t>
  </si>
  <si>
    <t>Nên tách p50/p95 và từng công đoạn.</t>
  </si>
  <si>
    <t>Mục tiêu thời lượng pin</t>
  </si>
  <si>
    <t>Theo hỗn hợp sử dụng thực tế.</t>
  </si>
  <si>
    <t>Ngưỡng nhiệt độ bề mặt</t>
  </si>
  <si>
    <t>Phải dựa trên tiêu chuẩn/ODM, không dùng cảm tính.</t>
  </si>
  <si>
    <t>PHÂN TÍCH TÀI LIỆU NGUỒN &amp; CHIẾN LƯỢC TEST</t>
  </si>
  <si>
    <t>Phân tích của tester; các ngưỡng đề xuất phải được xác nhận trước khi dùng làm tiêu chí pass/fail.</t>
  </si>
  <si>
    <t>Tóm tắt</t>
  </si>
  <si>
    <t>Kết quả</t>
  </si>
  <si>
    <t>Mục tiêu tài liệu</t>
  </si>
  <si>
    <t>Nghiệm thu phối hợp thiết bị mẫu + ứng dụng tại Việt Nam trước quyết định làm khuôn/đặt lô đầu.</t>
  </si>
  <si>
    <t>Sản phẩm cốt lõi</t>
  </si>
  <si>
    <t>Trẻ nói tiếng Việt -&gt; hệ thống tạo câu tiếng Anh ngắn, có kiểm soát, phù hợp tuổi -&gt; phát giọng -&gt; trẻ bắt chước.</t>
  </si>
  <si>
    <t>Ngoài phạm vi V1</t>
  </si>
  <si>
    <t>Không phải chatbot tự do; không phải máy dịch vạn năng; OTA và Việt-Trung/Nhật/Hàn chỉ là readiness tương lai.</t>
  </si>
  <si>
    <t>Số tiêu chí nguồn</t>
  </si>
  <si>
    <t>110 (74 P0, 29 P1, 7 Future).</t>
  </si>
  <si>
    <t>Bộ test case</t>
  </si>
  <si>
    <t>169 ca, gồm baseline truy vết 1:1 và ca mở rộng rủi ro cao/negative/recovery/soak/UAT.</t>
  </si>
  <si>
    <t>Quy tắc quyết định</t>
  </si>
  <si>
    <t>P0 chưa đóng chặn làm khuôn/đặt hàng, trừ phê duyệt rủi ro bằng văn bản. P1 cần kế hoạch. Future không chặn V1.</t>
  </si>
  <si>
    <t>ID</t>
  </si>
  <si>
    <t>Phát hiện/GAP</t>
  </si>
  <si>
    <t>Tác động</t>
  </si>
  <si>
    <t>Khuyến nghị</t>
  </si>
  <si>
    <t>Trạng thái quyết định</t>
  </si>
  <si>
    <t>GAP-01</t>
  </si>
  <si>
    <t>Tài liệu dùng lẫn AIV1 và H20.</t>
  </si>
  <si>
    <t>Có thể test/đặt hàng nhầm phiên bản phần cứng.</t>
  </si>
  <si>
    <t>Xác nhận tên thương mại, mã ODM và mapping bo mạch trước test.</t>
  </si>
  <si>
    <t>Chưa xác nhận</t>
  </si>
  <si>
    <t>GAP-02</t>
  </si>
  <si>
    <t>Mã E01 lặp 5 lần; G01-G08 lặp ở hai phần.</t>
  </si>
  <si>
    <t>Không truy vết duy nhất giữa lỗi, evidence và quyết định.</t>
  </si>
  <si>
    <t>Dùng Requirement ID chuẩn hóa trong workbook, giữ mã nguồn riêng.</t>
  </si>
  <si>
    <t>Đã xử lý trong file</t>
  </si>
  <si>
    <t>GAP-03</t>
  </si>
  <si>
    <t>APK không thể cài trên iPhone nhưng tài liệu yêu cầu test iPhone.</t>
  </si>
  <si>
    <t>Không thể chứng minh tương thích iPhone nếu không có build iOS.</t>
  </si>
  <si>
    <t>Xác nhận có ứng dụng iOS/bundle build tương ứng; nếu không, ghi Chưa test và không tuyên bố hỗ trợ iPhone.</t>
  </si>
  <si>
    <t>GAP-04</t>
  </si>
  <si>
    <t>Không có danh sách OS/API level và model mục tiêu.</t>
  </si>
  <si>
    <t>Bao phủ tương thích không đủ, dễ bỏ lỗi theo hãng/OS.</t>
  </si>
  <si>
    <t>Chốt ma trận tối thiểu 2 Android khác hãng/OS + 1 iPhone thật, sau đó mở rộng theo thị phần.</t>
  </si>
  <si>
    <t>GAP-05</t>
  </si>
  <si>
    <t>Không có ngưỡng pass/fail cho độ trễ end-to-end và từng công đoạn.</t>
  </si>
  <si>
    <t>Không thể kết luận P0 E06/H05 một cách nhất quán.</t>
  </si>
  <si>
    <t>PO/QA duyệt p50/p95/hard timeout theo Wi-Fi/mobile/weak network.</t>
  </si>
  <si>
    <t>GAP-06</t>
  </si>
  <si>
    <t>Không định lượng độ chính xác intent/ASR theo vùng, tuổi và môi trường.</t>
  </si>
  <si>
    <t>Kết luận 'sử dụng được' mang tính cảm tính.</t>
  </si>
  <si>
    <t>Chốt số mẫu, số câu, success rate tối thiểu và zero-tolerance cho wrong-module critical.</t>
  </si>
  <si>
    <t>GAP-07</t>
  </si>
  <si>
    <t>Chưa có ngưỡng long press, VAD silence, reconnect timeout.</t>
  </si>
  <si>
    <t>Test boundary/state không có oracle rõ.</t>
  </si>
  <si>
    <t>ODM + APK thống nhất thông số, ghi vào sheet Cấu hình trước chạy.</t>
  </si>
  <si>
    <t>GAP-08</t>
  </si>
  <si>
    <t>Không có mục tiêu thời lượng pin, thời gian sạc và giới hạn nhiệt.</t>
  </si>
  <si>
    <t>Rủi ro an toàn và khiếu nại hậu mãi.</t>
  </si>
  <si>
    <t>Dựa trên cell/bộ sạc/tiêu chuẩn ODM để chốt ngưỡng; dùng dụng cụ đo phù hợp.</t>
  </si>
  <si>
    <t>GAP-09</t>
  </si>
  <si>
    <t>Profile mạng yếu/timeout/API lỗi chưa được định nghĩa.</t>
  </si>
  <si>
    <t>Kết quả khó tái lập và so sánh Android/iOS.</t>
  </si>
  <si>
    <t>Định nghĩa latency/bandwidth/loss/offline và phương pháp giả lập.</t>
  </si>
  <si>
    <t>GAP-10</t>
  </si>
  <si>
    <t>Quy mô mẫu trẻ/consent/retention chưa cụ thể.</t>
  </si>
  <si>
    <t>Rủi ro sai lệch thống kê và quyền riêng tư trẻ em.</t>
  </si>
  <si>
    <t>Duyệt protocol nghiên cứu, consent, mã hóa ẩn danh, retention và access control trước thu âm.</t>
  </si>
  <si>
    <t>GAP-11</t>
  </si>
  <si>
    <t>Định nghĩa kho 5.000 câu, versioning và tỷ lệ match chưa rõ.</t>
  </si>
  <si>
    <t>Không thể hồi quy nội dung/cache và tính chi phí.</t>
  </si>
  <si>
    <t>Khóa version dataset, expected mapping, cache source và metric.</t>
  </si>
  <si>
    <t>GAP-12</t>
  </si>
  <si>
    <t>Contract BLE/GATT, firmware protocol và state machine chưa đính kèm.</t>
  </si>
  <si>
    <t>Nguy cơ test theo giả định bo mạch cũ.</t>
  </si>
  <si>
    <t>ODM cung cấp GATT dump, version field, button timing và state transition table.</t>
  </si>
  <si>
    <t>Chiến lược thực thi đề xuất</t>
  </si>
  <si>
    <t>Pha 1</t>
  </si>
  <si>
    <t>Smoke + khóa phiên bản</t>
  </si>
  <si>
    <t>Cấu hình, clean install, quyền, pairing, GATT, HFP route, MAIN cơ bản.</t>
  </si>
  <si>
    <t>Fail bất kỳ P0 cốt lõi -&gt; dừng mở rộng và debug.</t>
  </si>
  <si>
    <t>Pha 2</t>
  </si>
  <si>
    <t>Tích hợp cốt lõi</t>
  </si>
  <si>
    <t>HFP+BLE đồng thời, voice command, dịch từng câu/liên tục, học, reconnect.</t>
  </si>
  <si>
    <t>Evidence end-to-end trên Android + iOS build thật.</t>
  </si>
  <si>
    <t>Pha 3</t>
  </si>
  <si>
    <t>Giọng/nội dung/an toàn</t>
  </si>
  <si>
    <t>Bắc-Trung-Nam, noise, VAD, translation fidelity, content safety, privacy.</t>
  </si>
  <si>
    <t>P0/P1</t>
  </si>
  <si>
    <t>Consent và taxonomy lỗi bắt buộc.</t>
  </si>
  <si>
    <t>Pha 4</t>
  </si>
  <si>
    <t>Non-functional</t>
  </si>
  <si>
    <t>Battery/charge/thermal/audio/range, weak network, interruptions, soak, upgrade.</t>
  </si>
  <si>
    <t>So sánh với ngưỡng đã duyệt.</t>
  </si>
  <si>
    <t>Pha 5</t>
  </si>
  <si>
    <t>UAT trẻ/phụ huynh</t>
  </si>
  <si>
    <t>Trẻ tự dùng, vai trò phụ huynh, lời nhắc, hụt hẫng, đeo/cầm.</t>
  </si>
  <si>
    <t>Có giám sát và consent; dừng khi có rủi ro.</t>
  </si>
  <si>
    <t>Pha 6</t>
  </si>
  <si>
    <t>Closure</t>
  </si>
  <si>
    <t>Retest, regression cố định, tổng hợp P0/P1, evidence, chữ ký ODM/APK/Sếp.</t>
  </si>
  <si>
    <t>Governance</t>
  </si>
  <si>
    <t>Chỉ kết luận theo quy tắc GO/NO-GO nguồn.</t>
  </si>
  <si>
    <t>BỘ TEST CASE NGHIỆM THU AIV1 + ỨNG DỤNG</t>
  </si>
  <si>
    <t>Tổng 169 test case; truy vết về 110 tiêu chí nguồn. Result dùng đúng 5 trạng thái của tài liệu nguồn.</t>
  </si>
  <si>
    <t>Quy tắc: P0 chưa Đạt là điều kiện chặn, trừ khi có phê duyệt rủi ro bằng văn bản. Mọi Không đạt phải có Defect ID và Evidence.</t>
  </si>
  <si>
    <t>STT</t>
  </si>
  <si>
    <t>Test Case ID</t>
  </si>
  <si>
    <t>Requirement ID</t>
  </si>
  <si>
    <t>Mã nguồn</t>
  </si>
  <si>
    <t>Module</t>
  </si>
  <si>
    <t>Tiêu đề</t>
  </si>
  <si>
    <t>Loại test</t>
  </si>
  <si>
    <t>Cấp test</t>
  </si>
  <si>
    <t>Nền tảng</t>
  </si>
  <si>
    <t>Tiền điều kiện</t>
  </si>
  <si>
    <t>Dữ liệu test</t>
  </si>
  <si>
    <t>Các bước thực hiện</t>
  </si>
  <si>
    <t>Kết quả mong đợi</t>
  </si>
  <si>
    <t>Result</t>
  </si>
  <si>
    <t>Defect ID</t>
  </si>
  <si>
    <t>Evidence ID/Link</t>
  </si>
  <si>
    <t>Kết quả thực tế</t>
  </si>
  <si>
    <t>Tester</t>
  </si>
  <si>
    <t>Ngày chạy</t>
  </si>
  <si>
    <t>TC-AIV1-001</t>
  </si>
  <si>
    <t>EV-E01-01</t>
  </si>
  <si>
    <t>E01</t>
  </si>
  <si>
    <t>Bằng chứng &amp; phạm vi</t>
  </si>
  <si>
    <t>Xác minh: Bằng chứng cuộc gọi hiện có từ nhà máy</t>
  </si>
  <si>
    <t>Review/Process</t>
  </si>
  <si>
    <t>System/UAT</t>
  </si>
  <si>
    <t>Tài liệu/Quy trình</t>
  </si>
  <si>
    <t>Đã điền sheet Cấu hình; thiết bị mẫu, firmware và build ứng dụng được khóa phiên bản; thư mục bằng chứng đã tạo. Có tài liệu/log/biên bản liên quan và người chịu trách nhiệm tham gia rà soát.</t>
  </si>
  <si>
    <t>Theo tiêu chí nguồn và dữ liệu/bằng chứng được nêu trong sheet Dữ liệu test.</t>
  </si>
  <si>
    <t>1. Ghi mã thiết bị, firmware, build ứng dụng, điện thoại/OS, mạng và thời điểm bắt đầu.
2. Thiết lập đúng trạng thái để kiểm tra: Bằng chứng cuộc gọi hiện có từ nhà máy.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</si>
  <si>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Trong cuộc gọi thông thường, micro và loa của H20 hoạt động được; điều này chỉ chứng minh khả năng thoại cơ bản của phần cứng. Không được dựa vào đó để kết luận APK AIV1 đã thực sự dùng micro của thiết bị.</t>
  </si>
  <si>
    <t>Gợi ý bằng chứng nguồn: Video/ảnh chụp: ____ | Mã nguồn: E-01</t>
  </si>
  <si>
    <t>TC-AIV1-002</t>
  </si>
  <si>
    <t>EV-E01-02</t>
  </si>
  <si>
    <t>Xác minh: Bằng chứng BLE hiện có</t>
  </si>
  <si>
    <t>1. Ghi mã thiết bị, firmware, build ứng dụng, điện thoại/OS, mạng và thời điểm bắt đầu.
2. Thiết lập đúng trạng thái để kiểm tra: Bằng chứng BLE hiện có.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</si>
  <si>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Đã thấy dịch vụ BLE Control và thông tin chẩn đoán MAIN Raw Hex; khi thiết bị mẫu thực tế đến Việt Nam vẫn phải xác nhận lại UUID, firmware và sự kiện nút bấm.</t>
  </si>
  <si>
    <t>Gợi ý bằng chứng nguồn: GATT/log: ____ | Mã nguồn: E-02</t>
  </si>
  <si>
    <t>TC-AIV1-003</t>
  </si>
  <si>
    <t>EV-E01-03</t>
  </si>
  <si>
    <t>Xác minh: Các bằng chứng thực tế chưa hoàn tất</t>
  </si>
  <si>
    <t>1. Ghi mã thiết bị, firmware, build ứng dụng, điện thoại/OS, mạng và thời điểm bắt đầu.
2. Thiết lập đúng trạng thái để kiểm tra: Các bằng chứng thực tế chưa hoàn tất.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</si>
  <si>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Trên Android/iPhone cần xác nhận APP có thực sự chọn micro và loa HFP của thiết bị hay không; giọng trẻ em Việt Nam, tiếng ồn, kết nối lại và thời lượng pin dài hạn vẫn phải test thực tế.</t>
  </si>
  <si>
    <t>Gợi ý bằng chứng nguồn: Bằng chứng cần bổ sung: ____ | Mã nguồn: E-03</t>
  </si>
  <si>
    <t>TC-AIV1-004</t>
  </si>
  <si>
    <t>EV-E01-04</t>
  </si>
  <si>
    <t>Xác minh: Kế hoạch tương lai, không dùng làm điều kiện đạt V1</t>
  </si>
  <si>
    <t>Review readiness</t>
  </si>
  <si>
    <t>1. Ghi mã thiết bị, firmware, build ứng dụng, điện thoại/OS, mạng và thời điểm bắt đầu.
2. Thiết lập đúng trạng thái để kiểm tra: Kế hoạch tương lai, không dùng làm điều kiện đạt V1.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</si>
  <si>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Các ngôn ngữ Việt → Trung/Nhật/Hàn; nâng cấp firmware OTA cho thiết bị; thêm nhiều giọng đọc. Chỉ ghi mức độ chuẩn bị, không được đánh dấu là đã hoàn thành.</t>
  </si>
  <si>
    <t>Không áp dụng (Tương lai)</t>
  </si>
  <si>
    <t>Gợi ý bằng chứng nguồn: Người phụ trách/kế hoạch: ____ | Mã nguồn: E-04</t>
  </si>
  <si>
    <t>TC-AIV1-005</t>
  </si>
  <si>
    <t>GATE-G01</t>
  </si>
  <si>
    <t>G01</t>
  </si>
  <si>
    <t>Go/No-Go P0</t>
  </si>
  <si>
    <t>Xác minh: Đường truyền âm thanh HFP hai chiều thực tế</t>
  </si>
  <si>
    <t>Integration</t>
  </si>
  <si>
    <t>Android/iOS + thiết bị AIV1/H20</t>
  </si>
  <si>
    <t>Đã điền sheet Cấu hình; thiết bị mẫu, firmware và build ứng dụng được khóa phiên bản; thư mục bằng chứng đã tạo. Thiết bị đã sạc; Bluetooth bật; có công cụ ghi màn hình, log BLE/GATT và đối chứng nguồn âm thanh.</t>
  </si>
  <si>
    <t>BT-PAIR, BT-HFP-MIC, BT-HFP-SPK, BT-RECONNECT; ma trận Android/iOS và trạng thái HFP/BLE.</t>
  </si>
  <si>
    <t>1. Ghi mã thiết bị, firmware, build ứng dụng, điện thoại/OS, mạng và thời điểm bắt đầu.
2. Thiết lập đúng trạng thái để kiểm tra: Đường truyền âm thanh HFP hai chiều thực tế.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</si>
  <si>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Xác nhận trên APK thực tế tại Việt Nam: giọng nói phải lấy từ micro của thiết bị, không phải điện thoại; tiếng Anh phải phát từ loa thiết bị, không phải loa điện thoại. Cả hai đều phải có video và phép thử đối chứng để chứng minh.</t>
  </si>
  <si>
    <t>Gợi ý bằng chứng nguồn: Điện thoại/thiết bị/kết quả: ____ | Mã nguồn: G-01</t>
  </si>
  <si>
    <t>TC-AIV1-006</t>
  </si>
  <si>
    <t>GATE-G02</t>
  </si>
  <si>
    <t>G02</t>
  </si>
  <si>
    <t>Xác minh: HFP và BLE hoạt động đồng thời</t>
  </si>
  <si>
    <t>1. Ghi mã thiết bị, firmware, build ứng dụng, điện thoại/OS, mạng và thời điểm bắt đầu.
2. Thiết lập đúng trạng thái để kiểm tra: HFP và BLE hoạt động đồng thời.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</si>
  <si>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Khi đang sử dụng âm thanh, BLE vẫn giữ kết nối; sự kiện MAIN vẫn chỉ được gửi đúng một lần; sau khi mất kết nối phải có thể khôi phục theo thiết kế.</t>
  </si>
  <si>
    <t>Gợi ý bằng chứng nguồn: Số lần test liên tục: ____ | Mã nguồn: G-02</t>
  </si>
  <si>
    <t>TC-AIV1-007</t>
  </si>
  <si>
    <t>GATE-G03</t>
  </si>
  <si>
    <t>G03</t>
  </si>
  <si>
    <t>Xác minh: Không xung đột giữa nhấn ngắn và nhấn giữ MAIN</t>
  </si>
  <si>
    <t>Functional</t>
  </si>
  <si>
    <t>1. Ghi mã thiết bị, firmware, build ứng dụng, điện thoại/OS, mạng và thời điểm bắt đầu.
2. Thiết lập đúng trạng thái để kiểm tra: Không xung đột giữa nhấn ngắn và nhấn giữ MAIN.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</si>
  <si>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APP phải phân biệt được nhấn ngắn và nhấn giữ; khi đang phát âm thanh, dịch liên tục, ghi âm hoặc chờ lệnh, nhấn giữ phải dừng/tạm dừng an toàn và không nhảy sai màn hình.</t>
  </si>
  <si>
    <t>Gợi ý bằng chứng nguồn: Log/video: ____ | Mã nguồn: G-03</t>
  </si>
  <si>
    <t>TC-AIV1-008</t>
  </si>
  <si>
    <t>GATE-G04</t>
  </si>
  <si>
    <t>G04</t>
  </si>
  <si>
    <t>Xác minh: Câu lệnh giọng nói tiếng Việt có kiểm soát</t>
  </si>
  <si>
    <t>1. Ghi mã thiết bị, firmware, build ứng dụng, điện thoại/OS, mạng và thời điểm bắt đầu.
2. Thiết lập đúng trạng thái để kiểm tra: Câu lệnh giọng nói tiếng Việt có kiểm soát.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</si>
  <si>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Sau khi bấm MAIN, trẻ em Việt Nam phải có thể dùng câu lệnh có kiểm soát để vào học theo chủ đề, học từ/câu mới và dịch; khi không hiểu thì chỉ hướng dẫn lại, không tự nhảy sai chức năng. Cần có ít nhất 1 trẻ thật ở mỗi vùng Bắc/Trung/Nam, hoặc ghi rõ phần chưa đủ mẫu.</t>
  </si>
  <si>
    <t>Gợi ý bằng chứng nguồn: Mẫu/tỷ lệ nhận diện đúng: ____ | Mã nguồn: G-04</t>
  </si>
  <si>
    <t>TC-AIV1-009</t>
  </si>
  <si>
    <t>GATE-G05</t>
  </si>
  <si>
    <t>G05</t>
  </si>
  <si>
    <t>Xác minh: Kiểm soát được dịch từng câu và dịch liên tục</t>
  </si>
  <si>
    <t>1. Ghi mã thiết bị, firmware, build ứng dụng, điện thoại/OS, mạng và thời điểm bắt đầu.
2. Thiết lập đúng trạng thái để kiểm tra: Kiểm soát được dịch từng câu và dịch liên tục.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</si>
  <si>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Hai chế độ dịch từng câu và dịch liên tục đều phải khởi động và dừng được; ở chế độ liên tục, sau khoảng dừng không được nhận nhầm tiếng môi trường thành lời trẻ.</t>
  </si>
  <si>
    <t>Gợi ý bằng chứng nguồn: Ghi âm/mã vấn đề: ____ | Mã nguồn: G-05</t>
  </si>
  <si>
    <t>TC-AIV1-010</t>
  </si>
  <si>
    <t>GATE-G06</t>
  </si>
  <si>
    <t>G06</t>
  </si>
  <si>
    <t>Xác minh: Giọng trẻ và tiếng ồn phải sử dụng được ở mức cốt lõi</t>
  </si>
  <si>
    <t>1. Ghi mã thiết bị, firmware, build ứng dụng, điện thoại/OS, mạng và thời điểm bắt đầu.
2. Thiết lập đúng trạng thái để kiểm tra: Giọng trẻ và tiếng ồn phải sử dụng được ở mức cốt lõi.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</si>
  <si>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Trong phòng bình thường và môi trường có tiếng ồn thường gặp, các câu ngắn quan trọng không được liên tục bị mất từ, nhảy sai chức năng hoặc thu nhầm giọng người khác. Lỗi phải được phân loại thành “nghe sai / dịch sai / trễ / phát âm thanh” và test hồi quy lại.</t>
  </si>
  <si>
    <t>Gợi ý bằng chứng nguồn: Đợt mẫu: ____ | Mã nguồn: G-06</t>
  </si>
  <si>
    <t>TC-AIV1-011</t>
  </si>
  <si>
    <t>GATE-G07</t>
  </si>
  <si>
    <t>G07</t>
  </si>
  <si>
    <t>Xác minh: Xác minh trên Android và iPhone</t>
  </si>
  <si>
    <t>Android + iOS (build tương ứng)</t>
  </si>
  <si>
    <t>1. Ghi mã thiết bị, firmware, build ứng dụng, điện thoại/OS, mạng và thời điểm bắt đầu.
2. Thiết lập đúng trạng thái để kiểm tra: Xác minh trên Android và iPhone.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</si>
  <si>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Ít nhất 1 điện thoại Android và 1 iPhone thật phải chạy đủ chuỗi: kết nối, ghi âm, phát âm thanh, nút bấm và kết nối lại; ghi rõ mẫu máy và phiên bản hệ điều hành. Nếu chưa test iPhone thì không được ghi “tương thích iPhone”.</t>
  </si>
  <si>
    <t>Gợi ý bằng chứng nguồn: Mẫu máy/hệ điều hành: ____ | Mã nguồn: G-07</t>
  </si>
  <si>
    <t>TC-AIV1-012</t>
  </si>
  <si>
    <t>GATE-G08</t>
  </si>
  <si>
    <t>G08</t>
  </si>
  <si>
    <t>Xác minh: Sạc và an toàn cơ bản</t>
  </si>
  <si>
    <t>Hardware/Safety</t>
  </si>
  <si>
    <t>1. Ghi mã thiết bị, firmware, build ứng dụng, điện thoại/OS, mạng và thời điểm bắt đầu.
2. Thiết lập đúng trạng thái để kiểm tra: Sạc và an toàn cơ bản.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</si>
  <si>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Thiết bị mẫu phải sạc bình thường, dùng được khi đầy pin, không nóng bất thường, không có mùi lạ, phồng pin hoặc thường xuyên tắt nguồn; phải ghi lại dữ liệu sạc và thời lượng pin thực tế.</t>
  </si>
  <si>
    <t>Gợi ý bằng chứng nguồn: Dữ liệu/quan sát: ____ | Mã nguồn: G-08</t>
  </si>
  <si>
    <t>TC-AIV1-013</t>
  </si>
  <si>
    <t>GATE-G09</t>
  </si>
  <si>
    <t>G09</t>
  </si>
  <si>
    <t>Xác minh: Khóa phiên bản và truy vết được</t>
  </si>
  <si>
    <t>1. Ghi mã thiết bị, firmware, build ứng dụng, điện thoại/OS, mạng và thời điểm bắt đầu.
2. Thiết lập đúng trạng thái để kiểm tra: Khóa phiên bản và truy vết được.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</si>
  <si>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Thiết bị mẫu dự kiến dùng để làm khuôn phải được đánh mã cho ngoại hình, nút bấm, bo mạch/chip, phiên bản Bluetooth, firmware, phiên bản APK và danh sách lỗi. Mọi P0 chưa đóng không được coi là đạt chỉ bằng xác nhận miệng.</t>
  </si>
  <si>
    <t>Gợi ý bằng chứng nguồn: Chữ ký/phụ lục: ____ | Mã nguồn: G-09</t>
  </si>
  <si>
    <t>TC-AIV1-014</t>
  </si>
  <si>
    <t>SETUP-A01</t>
  </si>
  <si>
    <t>A01</t>
  </si>
  <si>
    <t>Cài đặt &amp; quyền</t>
  </si>
  <si>
    <t>Xác minh: Gắn phiên bản với từng thiết bị mẫu</t>
  </si>
  <si>
    <t>Đã điền sheet Cấu hình; thiết bị mẫu, firmware và build ứng dụng được khóa phiên bản; thư mục bằng chứng đã tạo. Có thiết bị Android và/hoặc iPhone theo phạm vi; có thể cài mới và thay đổi quyền hệ thống.</t>
  </si>
  <si>
    <t>1. Ghi mã thiết bị, firmware, build ứng dụng, điện thoại/OS, mạng và thời điểm bắt đầu.
2. Thiết lập đúng trạng thái để kiểm tra: Gắn phiên bản với từng thiết bị mẫu.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</si>
  <si>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Mỗi thiết bị mẫu phải có mã duy nhất; ghi phiên bản ngoại hình, số bo mạch, firmware, tên gói/phiên bản APK để tránh trộn kết quả giữa các bo mạch khác nhau.</t>
  </si>
  <si>
    <t>Gợi ý bằng chứng nguồn: Mã: ____ | Mã nguồn: A-01</t>
  </si>
  <si>
    <t>TC-AIV1-015</t>
  </si>
  <si>
    <t>SETUP-A02</t>
  </si>
  <si>
    <t>A02</t>
  </si>
  <si>
    <t>Xác minh: Cài đặt và khởi động lần đầu</t>
  </si>
  <si>
    <t>1. Ghi mã thiết bị, firmware, build ứng dụng, điện thoại/OS, mạng và thời điểm bắt đầu.
2. Thiết lập đúng trạng thái để kiểm tra: Cài đặt và khởi động lần đầu.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</si>
  <si>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Android và iPhone đều phải thực hiện một lần cài mới sạch, cấp quyền lần đầu, đóng rồi mở lại; không được treo, màn hình trắng hoặc tải vô hạn.</t>
  </si>
  <si>
    <t>Gợi ý bằng chứng nguồn: Thời gian/video: ____ | Mã nguồn: A-02</t>
  </si>
  <si>
    <t>TC-AIV1-016</t>
  </si>
  <si>
    <t>SETUP-A03</t>
  </si>
  <si>
    <t>A03</t>
  </si>
  <si>
    <t>Xác minh: Quy trình xin quyền</t>
  </si>
  <si>
    <t>1. Ghi mã thiết bị, firmware, build ứng dụng, điện thoại/OS, mạng và thời điểm bắt đầu.
2. Thiết lập đúng trạng thái để kiểm tra: Quy trình xin quyền.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</si>
  <si>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Giải thích rõ quyền micro, Bluetooth/thiết bị lân cận, thông báo...; nếu người dùng từ chối thì có thể bật lại, không hiển thị thông báo kỹ thuật khó hiểu.</t>
  </si>
  <si>
    <t>Gợi ý bằng chứng nguồn: Mã vấn đề: ____ | Mã nguồn: A-03</t>
  </si>
  <si>
    <t>TC-AIV1-017</t>
  </si>
  <si>
    <t>SETUP-A04</t>
  </si>
  <si>
    <t>A04</t>
  </si>
  <si>
    <t>Xác minh: Thiết lập lần đầu cho phụ huynh</t>
  </si>
  <si>
    <t>1. Ghi mã thiết bị, firmware, build ứng dụng, điện thoại/OS, mạng và thời điểm bắt đầu.
2. Thiết lập đúng trạng thái để kiểm tra: Thiết lập lần đầu cho phụ huynh.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</si>
  <si>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Phụ huynh phải hoàn thành được các thiết lập cần thiết như tuổi của trẻ, bài học ban đầu, kết nối thiết bị; sau khi thiết lập bài học lần đầu, trẻ phải có thể tiếp tục vào bài từ thiết bị.</t>
  </si>
  <si>
    <t>Gợi ý bằng chứng nguồn: Video: ____ | Mã nguồn: A-04</t>
  </si>
  <si>
    <t>TC-AIV1-018</t>
  </si>
  <si>
    <t>SETUP-A05</t>
  </si>
  <si>
    <t>A05</t>
  </si>
  <si>
    <t>Xác minh: Chuyển đổi mạng</t>
  </si>
  <si>
    <t>Performance/Reliability</t>
  </si>
  <si>
    <t>1. Ghi mã thiết bị, firmware, build ứng dụng, điện thoại/OS, mạng và thời điểm bắt đầu.
2. Thiết lập đúng trạng thái để kiểm tra: Chuyển đổi mạng.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</si>
  <si>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Trên Wi-Fi, dữ liệu di động và mạng yếu, ghi riêng hiệu năng thực tế và thông báo lỗi của tải trang chủ, nhận diện, dịch và phát âm thanh.</t>
  </si>
  <si>
    <t>Gợi ý bằng chứng nguồn: Mạng/thời gian: ____ | Mã nguồn: A-05</t>
  </si>
  <si>
    <t>TC-AIV1-019</t>
  </si>
  <si>
    <t>SETUP-A06</t>
  </si>
  <si>
    <t>A06</t>
  </si>
  <si>
    <t>Xác minh: Vị trí lưu log và bằng chứng</t>
  </si>
  <si>
    <t>1. Ghi mã thiết bị, firmware, build ứng dụng, điện thoại/OS, mạng và thời điểm bắt đầu.
2. Thiết lập đúng trạng thái để kiểm tra: Vị trí lưu log và bằng chứng.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</si>
  <si>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Người test phải biết nơi lưu video, mã file âm thanh, ảnh chụp, thời điểm lỗi và phiếu vấn đề để kỹ sư có thể tái hiện ổn định.</t>
  </si>
  <si>
    <t>Gợi ý bằng chứng nguồn: Đường dẫn: ____ | Mã nguồn: A-06</t>
  </si>
  <si>
    <t>TC-AIV1-020</t>
  </si>
  <si>
    <t>BT-B01</t>
  </si>
  <si>
    <t>B01</t>
  </si>
  <si>
    <t>Bluetooth/HFP/BLE</t>
  </si>
  <si>
    <t>Xác minh: Ghép đôi trong hệ thống</t>
  </si>
  <si>
    <t>1. Ghi mã thiết bị, firmware, build ứng dụng, điện thoại/OS, mạng và thời điểm bắt đầu.
2. Thiết lập đúng trạng thái để kiểm tra: Ghép đôi trong hệ thống.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</si>
  <si>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Bluetooth trên Android/iPhone phải tìm thấy, ghép đôi, hủy ghép đôi và ghép lại được thiết bị mẫu; tên thiết bị phải dễ nhận biết và không nhầm với thiết bị khác.</t>
  </si>
  <si>
    <t>Gợi ý bằng chứng nguồn: Tên thiết bị: ____ | Mã nguồn: B-01</t>
  </si>
  <si>
    <t>TC-AIV1-021</t>
  </si>
  <si>
    <t>BT-B02</t>
  </si>
  <si>
    <t>B02</t>
  </si>
  <si>
    <t>Xác minh: Nguồn micro HFP của thiết bị</t>
  </si>
  <si>
    <t>1. Ghi mã thiết bị, firmware, build ứng dụng, điện thoại/OS, mạng và thời điểm bắt đầu.
2. Thiết lập đúng trạng thái để kiểm tra: Nguồn micro HFP của thiết bị.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</si>
  <si>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Dùng phép thử đối chứng “che micro điện thoại / đặt điện thoại xa trẻ / đưa thiết bị gần trẻ” để xác nhận APP thực sự nhận giọng từ micro của thiết bị.</t>
  </si>
  <si>
    <t>Gợi ý bằng chứng nguồn: Kết quả đối chứng: ____ | Mã nguồn: B-02</t>
  </si>
  <si>
    <t>TC-AIV1-022</t>
  </si>
  <si>
    <t>BT-B03</t>
  </si>
  <si>
    <t>B03</t>
  </si>
  <si>
    <t>Xác minh: Nguồn loa HFP của thiết bị</t>
  </si>
  <si>
    <t>1. Ghi mã thiết bị, firmware, build ứng dụng, điện thoại/OS, mạng và thời điểm bắt đầu.
2. Thiết lập đúng trạng thái để kiểm tra: Nguồn loa HFP của thiết bị.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</si>
  <si>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Khi phát tiếng Anh, xác nhận âm thanh phát từ loa thiết bị; hành vi âm lượng điện thoại/thiết bị phải đúng như thiết kế.</t>
  </si>
  <si>
    <t>Gợi ý bằng chứng nguồn: Kết quả đối chứng: ____ | Mã nguồn: B-03</t>
  </si>
  <si>
    <t>TC-AIV1-023</t>
  </si>
  <si>
    <t>BT-B04</t>
  </si>
  <si>
    <t>B04</t>
  </si>
  <si>
    <t>Xác minh: HFP và BLE kết nối đồng thời</t>
  </si>
  <si>
    <t>1. Ghi mã thiết bị, firmware, build ứng dụng, điện thoại/OS, mạng và thời điểm bắt đầu.
2. Thiết lập đúng trạng thái để kiểm tra: HFP và BLE kết nối đồng thời.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</si>
  <si>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Khi thiết bị đang ghi âm, phát âm thanh hoặc dịch liên tục, BLE Control không được rớt; MAIN và trạng thái pin vẫn đọc được.</t>
  </si>
  <si>
    <t>Gợi ý bằng chứng nguồn: Số lần/kết quả: ____ | Mã nguồn: B-04</t>
  </si>
  <si>
    <t>TC-AIV1-024</t>
  </si>
  <si>
    <t>BT-B05</t>
  </si>
  <si>
    <t>B05</t>
  </si>
  <si>
    <t>Xác minh: Đối chiếu thực tế BLE Service/UUID</t>
  </si>
  <si>
    <t>1. Ghi mã thiết bị, firmware, build ứng dụng, điện thoại/OS, mạng và thời điểm bắt đầu.
2. Thiết lập đúng trạng thái để kiểm tra: Đối chiếu thực tế BLE Service/UUID.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</si>
  <si>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Ghi tên quảng bá của thiết bị thật, Control Service, Button Characteristic, APP State Characteristic, pin và trường firmware; không được tiếp tục dùng giả định từ bo mạch cũ.</t>
  </si>
  <si>
    <t>Gợi ý bằng chứng nguồn: Phụ lục GATT: ____ | Mã nguồn: B-05</t>
  </si>
  <si>
    <t>TC-AIV1-025</t>
  </si>
  <si>
    <t>BT-B06</t>
  </si>
  <si>
    <t>B06</t>
  </si>
  <si>
    <t>Xác minh: Sự kiện nhấn ngắn MAIN</t>
  </si>
  <si>
    <t>1. Ghi mã thiết bị, firmware, build ứng dụng, điện thoại/OS, mạng và thời điểm bắt đầu.
2. Thiết lập đúng trạng thái để kiểm tra: Sự kiện nhấn ngắn MAIN.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</si>
  <si>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Mỗi lần nhấn ngắn chỉ gửi một sự kiện, không lặp và không mất; APP phải xử lý đúng theo trạng thái hiện tại.</t>
  </si>
  <si>
    <t>Gợi ý bằng chứng nguồn: N lần/số lần lặp: ____ | Mã nguồn: B-06</t>
  </si>
  <si>
    <t>TC-AIV1-026</t>
  </si>
  <si>
    <t>BT-B07</t>
  </si>
  <si>
    <t>B07</t>
  </si>
  <si>
    <t>Xác minh: Sự kiện nhấn giữ MAIN</t>
  </si>
  <si>
    <t>1. Ghi mã thiết bị, firmware, build ứng dụng, điện thoại/OS, mạng và thời điểm bắt đầu.
2. Thiết lập đúng trạng thái để kiểm tra: Sự kiện nhấn giữ MAIN.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</si>
  <si>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Sau thời gian quy định chỉ kích hoạt một lần tạm dừng/dừng; nhấn ngắn không bị hiểu nhầm thành nhấn giữ và nhấn giữ không được kích hoạt lặp.</t>
  </si>
  <si>
    <t>Gợi ý bằng chứng nguồn: Ngưỡng/log: ____ | Mã nguồn: B-07</t>
  </si>
  <si>
    <t>TC-AIV1-027</t>
  </si>
  <si>
    <t>BT-B08</t>
  </si>
  <si>
    <t>B08</t>
  </si>
  <si>
    <t>Xác minh: Âm lượng + / -</t>
  </si>
  <si>
    <t>1. Ghi mã thiết bị, firmware, build ứng dụng, điện thoại/OS, mạng và thời điểm bắt đầu.
2. Thiết lập đúng trạng thái để kiểm tra: Âm lượng + / -.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</si>
  <si>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Nhấn một lần để tăng/giảm; nhấn giữ để điều chỉnh liên tục (nếu firmware hỗ trợ); không làm thay đổi trạng thái bài học hoặc dịch.</t>
  </si>
  <si>
    <t>Gợi ý bằng chứng nguồn: Bất thường: ____ | Mã nguồn: B-08</t>
  </si>
  <si>
    <t>TC-AIV1-028</t>
  </si>
  <si>
    <t>BT-B09</t>
  </si>
  <si>
    <t>B09</t>
  </si>
  <si>
    <t>Xác minh: Nút nguồn</t>
  </si>
  <si>
    <t>1. Ghi mã thiết bị, firmware, build ứng dụng, điện thoại/OS, mạng và thời điểm bắt đầu.
2. Thiết lập đúng trạng thái để kiểm tra: Nút nguồn.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</si>
  <si>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Nhấn giữ để bật/tắt; logic ghép đôi/kết nối lại phải rõ ràng; không dùng nút nguồn cho chức năng học.</t>
  </si>
  <si>
    <t>Gợi ý bằng chứng nguồn: Bất thường: ____ | Mã nguồn: B-09</t>
  </si>
  <si>
    <t>TC-AIV1-029</t>
  </si>
  <si>
    <t>BT-B10</t>
  </si>
  <si>
    <t>B10</t>
  </si>
  <si>
    <t>Xác minh: Kết nối lại</t>
  </si>
  <si>
    <t>1. Ghi mã thiết bị, firmware, build ứng dụng, điện thoại/OS, mạng và thời điểm bắt đầu.
2. Thiết lập đúng trạng thái để kiểm tra: Kết nối lại.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</si>
  <si>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Test khôi phục sau khi tắt Bluetooth, ra ngoài phạm vi hoặc đưa APP xuống nền; ghi riêng thời gian khôi phục HFP và BLE cùng các trường hợp thất bại.</t>
  </si>
  <si>
    <t>Gợi ý bằng chứng nguồn: Thời gian/số lần: ____ | Mã nguồn: B-10</t>
  </si>
  <si>
    <t>TC-AIV1-030</t>
  </si>
  <si>
    <t>BT-B11</t>
  </si>
  <si>
    <t>B11</t>
  </si>
  <si>
    <t>Xác minh: Đọc mức pin</t>
  </si>
  <si>
    <t>1. Ghi mã thiết bị, firmware, build ứng dụng, điện thoại/OS, mạng và thời điểm bắt đầu.
2. Thiết lập đúng trạng thái để kiểm tra: Đọc mức pin.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</si>
  <si>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Mức pin hiển thị trên APP phải hợp lý với trạng thái thực tế của thiết bị; cảnh báo pin yếu không được ảnh hưởng chức năng cốt lõi.</t>
  </si>
  <si>
    <t>Gợi ý bằng chứng nguồn: Giá trị đọc: ____ | Mã nguồn: B-11</t>
  </si>
  <si>
    <t>TC-AIV1-031</t>
  </si>
  <si>
    <t>HW-C01</t>
  </si>
  <si>
    <t>C01</t>
  </si>
  <si>
    <t>Phần cứng &amp; an toàn</t>
  </si>
  <si>
    <t>Xác minh: Ngoại hình và kết cấu</t>
  </si>
  <si>
    <t>Thiết bị AIV1/H20</t>
  </si>
  <si>
    <t>Đã điền sheet Cấu hình; thiết bị mẫu, firmware và build ứng dụng được khóa phiên bản; thư mục bằng chứng đã tạo. Có dây/củ sạc chuẩn, đồng hồ thời gian, phương tiện đo nhiệt nếu cần và khu vực thử an toàn.</t>
  </si>
  <si>
    <t>HW-CHARGE, HW-BATTERY, HW-THERMAL, ENV-QUIET, ENV-HOME, ENV-CLASS.</t>
  </si>
  <si>
    <t>1. Ghi mã thiết bị, firmware, build ứng dụng, điện thoại/OS, mạng và thời điểm bắt đầu.
2. Thiết lập đúng trạng thái để kiểm tra: Ngoại hình và kết cấu.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</si>
  <si>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Thiết bị mẫu không nứt, lỏng, có cạnh sắc; kẹp/dây đeo/vỏ phải phù hợp để trẻ cầm, đeo và cất giữ bình thường.</t>
  </si>
  <si>
    <t>Gợi ý bằng chứng nguồn: Ảnh: ____ | Mã nguồn: C-01</t>
  </si>
  <si>
    <t>TC-AIV1-032</t>
  </si>
  <si>
    <t>HW-C02</t>
  </si>
  <si>
    <t>C02</t>
  </si>
  <si>
    <t>Xác minh: Cảm giác và khả năng phân biệt nút</t>
  </si>
  <si>
    <t>1. Ghi mã thiết bị, firmware, build ứng dụng, điện thoại/OS, mạng và thời điểm bắt đầu.
2. Thiết lập đúng trạng thái để kiểm tra: Cảm giác và khả năng phân biệt nút.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</si>
  <si>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Trẻ phải dễ tìm được MAIN, âm lượng +, âm lượng - và nút nguồn; MAIN cần khác biệt rõ, tỷ lệ bấm nhầm thấp.</t>
  </si>
  <si>
    <t>Gợi ý bằng chứng nguồn: Độ tuổi/phản hồi: ____ | Mã nguồn: C-02</t>
  </si>
  <si>
    <t>TC-AIV1-033</t>
  </si>
  <si>
    <t>HW-C03</t>
  </si>
  <si>
    <t>C03</t>
  </si>
  <si>
    <t>Xác minh: Cổng sạc và dây sạc</t>
  </si>
  <si>
    <t>1. Ghi mã thiết bị, firmware, build ứng dụng, điện thoại/OS, mạng và thời điểm bắt đầu.
2. Thiết lập đúng trạng thái để kiểm tra: Cổng sạc và dây sạc.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</si>
  <si>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Cắm/rút thuận, hướng rõ; dùng dây đi kèm/dây chuẩn phải sạc bình thường, không lỏng hoặc nóng bất thường.</t>
  </si>
  <si>
    <t>Gợi ý bằng chứng nguồn: Dây/quan sát: ____ | Mã nguồn: C-03</t>
  </si>
  <si>
    <t>TC-AIV1-034</t>
  </si>
  <si>
    <t>HW-C04</t>
  </si>
  <si>
    <t>C04</t>
  </si>
  <si>
    <t>Xác minh: Thời gian sạc thực tế</t>
  </si>
  <si>
    <t>1. Ghi mã thiết bị, firmware, build ứng dụng, điện thoại/OS, mạng và thời điểm bắt đầu.
2. Thiết lập đúng trạng thái để kiểm tra: Thời gian sạc thực tế.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</si>
  <si>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Đo trọn vẹn từ pin thấp đến đầy; ghi mức pin đầu/cuối, thông số củ sạc và tổng thời gian. Không dùng riêng thông số quảng cáo.</t>
  </si>
  <si>
    <t>Gợi ý bằng chứng nguồn: Phút: ____ | Mã nguồn: C-04</t>
  </si>
  <si>
    <t>TC-AIV1-035</t>
  </si>
  <si>
    <t>HW-C05</t>
  </si>
  <si>
    <t>C05</t>
  </si>
  <si>
    <t>Xác minh: Thời lượng pin / mức tiêu thụ thực tế</t>
  </si>
  <si>
    <t>1. Ghi mã thiết bị, firmware, build ứng dụng, điện thoại/OS, mạng và thời điểm bắt đầu.
2. Thiết lập đúng trạng thái để kiểm tra: Thời lượng pin / mức tiêu thụ thực tế.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</si>
  <si>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Test liên tục theo tổ hợp sử dụng điển hình của trẻ (phát âm thanh, ghi âm, chờ) và ghi lại thay đổi phần trăm pin còn lại.</t>
  </si>
  <si>
    <t>Gợi ý bằng chứng nguồn: Thời lượng/điều kiện: ____ | Mã nguồn: C-05</t>
  </si>
  <si>
    <t>TC-AIV1-036</t>
  </si>
  <si>
    <t>HW-C06</t>
  </si>
  <si>
    <t>C06</t>
  </si>
  <si>
    <t>Xác minh: Hành vi khi đang sạc</t>
  </si>
  <si>
    <t>1. Ghi mã thiết bị, firmware, build ứng dụng, điện thoại/OS, mạng và thời điểm bắt đầu.
2. Thiết lập đúng trạng thái để kiểm tra: Hành vi khi đang sạc.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</si>
  <si>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Xác nhận có dùng được khi sạc hay không, có ảnh hưởng Bluetooth/âm thanh hay không; nếu chưa có báo trạng thái sạc, phải ghi rõ “chưa cung cấp”, không được hiển thị sai trạng thái.</t>
  </si>
  <si>
    <t>Gợi ý bằng chứng nguồn: Hành vi: ____ | Mã nguồn: C-06</t>
  </si>
  <si>
    <t>TC-AIV1-037</t>
  </si>
  <si>
    <t>HW-C07</t>
  </si>
  <si>
    <t>C07</t>
  </si>
  <si>
    <t>Xác minh: Nhiệt và bất thường</t>
  </si>
  <si>
    <t>1. Ghi mã thiết bị, firmware, build ứng dụng, điện thoại/OS, mạng và thời điểm bắt đầu.
2. Thiết lập đúng trạng thái để kiểm tra: Nhiệt và bất thường.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</si>
  <si>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Kiểm tra bằng cách chạm sau khi sạc, phát liên tục và dịch liên tục; nếu quá nóng, có mùi lạ, phồng hoặc tự khởi động lại thì P0 không đạt.</t>
  </si>
  <si>
    <t>Gợi ý bằng chứng nguồn: Quan sát/nhiệt độ: ____ | Mã nguồn: C-07</t>
  </si>
  <si>
    <t>TC-AIV1-038</t>
  </si>
  <si>
    <t>HW-C08</t>
  </si>
  <si>
    <t>C08</t>
  </si>
  <si>
    <t>Xác minh: Âm lượng loa</t>
  </si>
  <si>
    <t>1. Ghi mã thiết bị, firmware, build ứng dụng, điện thoại/OS, mạng và thời điểm bắt đầu.
2. Thiết lập đúng trạng thái để kiểm tra: Âm lượng loa.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</si>
  <si>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Nghe thử trong phòng yên tĩnh, môi trường gia đình bình thường và lớp học; âm lượng phải đủ nghe nhưng không chói tai, rè hoặc nổ tiếng.</t>
  </si>
  <si>
    <t>Gợi ý bằng chứng nguồn: Môi trường/kết luận: ____ | Mã nguồn: C-08</t>
  </si>
  <si>
    <t>TC-AIV1-039</t>
  </si>
  <si>
    <t>HW-C09</t>
  </si>
  <si>
    <t>C09</t>
  </si>
  <si>
    <t>Xác minh: Độ rõ khi phát tiếng Anh</t>
  </si>
  <si>
    <t>1. Ghi mã thiết bị, firmware, build ứng dụng, điện thoại/OS, mạng và thời điểm bắt đầu.
2. Thiết lập đúng trạng thái để kiểm tra: Độ rõ khi phát tiếng Anh.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</si>
  <si>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Trẻ và phụ huynh phải nghe rõ câu tiếng Anh ngắn, lời nhắc và phần kết; không được thường xuyên mất tiếng, giật, có tạp âm hoặc trễ nghiêm trọng.</t>
  </si>
  <si>
    <t>Gợi ý bằng chứng nguồn: Mã âm thanh: ____ | Mã nguồn: C-09</t>
  </si>
  <si>
    <t>TC-AIV1-040</t>
  </si>
  <si>
    <t>HW-C10</t>
  </si>
  <si>
    <t>C10</t>
  </si>
  <si>
    <t>Xác minh: Độ rõ khi thu giọng từ thiết bị</t>
  </si>
  <si>
    <t>1. Ghi mã thiết bị, firmware, build ứng dụng, điện thoại/OS, mạng và thời điểm bắt đầu.
2. Thiết lập đúng trạng thái để kiểm tra: Độ rõ khi thu giọng từ thiết bị.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</si>
  <si>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Ở khoảng cách nói bình thường, khi trẻ quay đầu hoặc đang đeo thiết bị vẫn phải thu được giọng; ảnh hưởng từ người xung quanh và tiếng môi trường phải được ghi lại.</t>
  </si>
  <si>
    <t>Gợi ý bằng chứng nguồn: Khoảng cách/mẫu: ____ | Mã nguồn: C-10</t>
  </si>
  <si>
    <t>TC-AIV1-041</t>
  </si>
  <si>
    <t>HW-C11</t>
  </si>
  <si>
    <t>C11</t>
  </si>
  <si>
    <t>Xác minh: Di chuyển và đeo</t>
  </si>
  <si>
    <t>1. Ghi mã thiết bị, firmware, build ứng dụng, điện thoại/OS, mạng và thời điểm bắt đầu.
2. Thiết lập đúng trạng thái để kiểm tra: Di chuyển và đeo.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</si>
  <si>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Khi đi lại, chạy nhẹ hoặc cọ xát với quần áo, kiểm tra rơi thiết bị, tiếng cọ xát, rớt kết nối và bấm nhầm.</t>
  </si>
  <si>
    <t>Gợi ý bằng chứng nguồn: Tình huống/kết quả: ____ | Mã nguồn: C-11</t>
  </si>
  <si>
    <t>TC-AIV1-042</t>
  </si>
  <si>
    <t>HW-C12</t>
  </si>
  <si>
    <t>C12</t>
  </si>
  <si>
    <t>Xác minh: Khoảng cách kết nối</t>
  </si>
  <si>
    <t>1. Ghi mã thiết bị, firmware, build ứng dụng, điện thoại/OS, mạng và thời điểm bắt đầu.
2. Thiết lập đúng trạng thái để kiểm tra: Khoảng cách kết nối.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</si>
  <si>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Trong không gian trong nhà thực tế, tăng dần khoảng cách và ghi phạm vi ổn định; khi mất kết nối phải test cách khôi phục.</t>
  </si>
  <si>
    <t>Gợi ý bằng chứng nguồn: Số mét: ____ | Mã nguồn: C-12</t>
  </si>
  <si>
    <t>TC-AIV1-043</t>
  </si>
  <si>
    <t>MAIN-D01</t>
  </si>
  <si>
    <t>D01</t>
  </si>
  <si>
    <t>MAIN/Voice command</t>
  </si>
  <si>
    <t>Xác minh: Nhấn ngắn MAIN khi đang chờ</t>
  </si>
  <si>
    <t>Đã điền sheet Cấu hình; thiết bị mẫu, firmware và build ứng dụng được khóa phiên bản; thư mục bằng chứng đã tạo. Thiết bị đã ghép HFP+BLE; tài khoản/phụ huynh đã thiết lập; mạng và dữ liệu test sẵn sàng.</t>
  </si>
  <si>
    <t>CMD-LEARN-*, CMD-NEW-*, CMD-TRANS-*, CMD-NAV-*, NEG-NO-SPEECH, NEG-GIBBERISH.</t>
  </si>
  <si>
    <t>1. Ghi mã thiết bị, firmware, build ứng dụng, điện thoại/OS, mạng và thời điểm bắt đầu.
2. Thiết lập đúng trạng thái để kiểm tra: Nhấn ngắn MAIN khi đang chờ.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</si>
  <si>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Sau khi nhấn ngắn, thiết bị phải lập tức phát lời nhắc tiếng Việt và bắt đầu nghe; lời nhắc cần cho trẻ biết các lựa chọn “học theo chủ đề / học từ mới / dịch”.</t>
  </si>
  <si>
    <t>Gợi ý bằng chứng nguồn: Lời nhắc/thời gian: ____ | Mã nguồn: D-01</t>
  </si>
  <si>
    <t>TC-AIV1-044</t>
  </si>
  <si>
    <t>MAIN-D02</t>
  </si>
  <si>
    <t>D02</t>
  </si>
  <si>
    <t>Xác minh: Nghe 6 giây và hướng dẫn lại</t>
  </si>
  <si>
    <t>1. Ghi mã thiết bị, firmware, build ứng dụng, điện thoại/OS, mạng và thời điểm bắt đầu.
2. Thiết lập đúng trạng thái để kiểm tra: Nghe 6 giây và hướng dẫn lại.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</si>
  <si>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Nếu khoảng 6 giây không có tiếng nói, nhắc lại một lần; nếu vẫn không phản hồi thì nói “khi sẵn sàng hãy bấm MAIN lại”, sau đó thoát yên lặng, không bị kẹt.</t>
  </si>
  <si>
    <t>Gợi ý bằng chứng nguồn: Số giây thực tế: ____ | Mã nguồn: D-02</t>
  </si>
  <si>
    <t>TC-AIV1-045</t>
  </si>
  <si>
    <t>MAIN-D03</t>
  </si>
  <si>
    <t>D03</t>
  </si>
  <si>
    <t>Xác minh: Phản hồi an toàn khi không hiểu</t>
  </si>
  <si>
    <t>1. Ghi mã thiết bị, firmware, build ứng dụng, điện thoại/OS, mạng và thời điểm bắt đầu.
2. Thiết lập đúng trạng thái để kiểm tra: Phản hồi an toàn khi không hiểu.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</si>
  <si>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Khi nghe không rõ, độ tin cậy thấp hoặc trẻ nói linh tinh, không được nhảy sang sai mô-đun; chỉ đưa ví dụ câu lệnh có kiểm soát và cho trẻ nói lại.</t>
  </si>
  <si>
    <t>Gợi ý bằng chứng nguồn: Ví dụ/video: ____ | Mã nguồn: D-03</t>
  </si>
  <si>
    <t>TC-AIV1-046</t>
  </si>
  <si>
    <t>MAIN-D04</t>
  </si>
  <si>
    <t>D04</t>
  </si>
  <si>
    <t>Xác minh: Các cách nói tương đương để vào học theo chủ đề</t>
  </si>
  <si>
    <t>1. Ghi mã thiết bị, firmware, build ứng dụng, điện thoại/OS, mạng và thời điểm bắt đầu.
2. Thiết lập đúng trạng thái để kiểm tra: Các cách nói tương đương để vào học theo chủ đề.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</si>
  <si>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Ít nhất phải test: Học bài / Học theo chủ đề / Học khóa học / Bắt đầu bài học... đều được quy về cổng bài học; ghi rõ trường hợp nhận diện đúng và bị bỏ sót.</t>
  </si>
  <si>
    <t>Gợi ý bằng chứng nguồn: Phiên bản từ điển/kết quả: ____ | Mã nguồn: D-04</t>
  </si>
  <si>
    <t>TC-AIV1-047</t>
  </si>
  <si>
    <t>MAIN-D05</t>
  </si>
  <si>
    <t>D05</t>
  </si>
  <si>
    <t>Xác minh: Các cách nói tương đương để vào học từ mới</t>
  </si>
  <si>
    <t>1. Ghi mã thiết bị, firmware, build ứng dụng, điện thoại/OS, mạng và thời điểm bắt đầu.
2. Thiết lập đúng trạng thái để kiểm tra: Các cách nói tương đương để vào học từ mới.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</si>
  <si>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Ít nhất phải test: Học từ mới / Học từ / Luyện từ... đều được quy về cổng học từ mới; logic ưu tiên nội dung mới thêm nhưng chưa luyện phải đúng định nghĩa sản phẩm.</t>
  </si>
  <si>
    <t>Gợi ý bằng chứng nguồn: Phiên bản từ điển/kết quả: ____ | Mã nguồn: D-05</t>
  </si>
  <si>
    <t>TC-AIV1-048</t>
  </si>
  <si>
    <t>MAIN-D06</t>
  </si>
  <si>
    <t>D06</t>
  </si>
  <si>
    <t>Xác minh: Các cách nói tương đương để vào chức năng dịch</t>
  </si>
  <si>
    <t>1. Ghi mã thiết bị, firmware, build ứng dụng, điện thoại/OS, mạng và thời điểm bắt đầu.
2. Thiết lập đúng trạng thái để kiểm tra: Các cách nói tương đương để vào chức năng dịch.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</si>
  <si>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Ít nhất phải test: Dịch tiếng Anh / Con muốn dịch / Dịch một câu / Dịch liên tục... đều vào đúng lựa chọn dịch; không được coi câu lệnh dịch như một câu bình thường cần dịch.</t>
  </si>
  <si>
    <t>Gợi ý bằng chứng nguồn: Phiên bản từ điển/kết quả: ____ | Mã nguồn: D-06</t>
  </si>
  <si>
    <t>TC-AIV1-049</t>
  </si>
  <si>
    <t>MAIN-D07</t>
  </si>
  <si>
    <t>D07</t>
  </si>
  <si>
    <t>Xác minh: Điều khiển câu trong bài học</t>
  </si>
  <si>
    <t>1. Ghi mã thiết bị, firmware, build ứng dụng, điện thoại/OS, mạng và thời điểm bắt đầu.
2. Thiết lập đúng trạng thái để kiểm tra: Điều khiển câu trong bài học.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</si>
  <si>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Trong bài học, test: Câu tiếp theo / Câu trước / Nghe lại / Học lại từ đầu. “Nghe lại” phải chỉ phát lại câu hiện tại, không phải cả bài.</t>
  </si>
  <si>
    <t>Gợi ý bằng chứng nguồn: Bài học/kết quả: ____ | Mã nguồn: D-07</t>
  </si>
  <si>
    <t>TC-AIV1-050</t>
  </si>
  <si>
    <t>MAIN-D08</t>
  </si>
  <si>
    <t>D08</t>
  </si>
  <si>
    <t>Xác minh: Điều khiển cấp bài học</t>
  </si>
  <si>
    <t>1. Ghi mã thiết bị, firmware, build ứng dụng, điện thoại/OS, mạng và thời điểm bắt đầu.
2. Thiết lập đúng trạng thái để kiểm tra: Điều khiển cấp bài học.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</si>
  <si>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Test: Bài tiếp theo / Bài trước; phải chuyển bài, không được nhầm thành câu trước/câu sau.</t>
  </si>
  <si>
    <t>Gợi ý bằng chứng nguồn: Bài học/kết quả: ____ | Mã nguồn: D-08</t>
  </si>
  <si>
    <t>TC-AIV1-051</t>
  </si>
  <si>
    <t>MAIN-D09</t>
  </si>
  <si>
    <t>D09</t>
  </si>
  <si>
    <t>Xác minh: Điều khiển mô-đun từ mới</t>
  </si>
  <si>
    <t>1. Ghi mã thiết bị, firmware, build ứng dụng, điện thoại/OS, mạng và thời điểm bắt đầu.
2. Thiết lập đúng trạng thái để kiểm tra: Điều khiển mô-đun từ mới.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</si>
  <si>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Test: Luyện lại (chưa thuộc) và Ngôi sao của con (đã thuộc); không để trẻ trực tiếp quản lý các thiết lập do phụ huynh phụ trách.</t>
  </si>
  <si>
    <t>Gợi ý bằng chứng nguồn: Nội dung/kết quả: ____ | Mã nguồn: D-09</t>
  </si>
  <si>
    <t>TC-AIV1-052</t>
  </si>
  <si>
    <t>MAIN-D10</t>
  </si>
  <si>
    <t>D10</t>
  </si>
  <si>
    <t>Xác minh: Nhấn giữ MAIN để dừng</t>
  </si>
  <si>
    <t>1. Ghi mã thiết bị, firmware, build ứng dụng, điện thoại/OS, mạng và thời điểm bắt đầu.
2. Thiết lập đúng trạng thái để kiểm tra: Nhấn giữ MAIN để dừng.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</si>
  <si>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Khi đang phát, dịch liên tục, ghi âm luyện nói hoặc chờ lệnh giọng nói, nhấn giữ phải lập tức tạm dừng/dừng và phát “Đã dừng.”; không làm mất tiến độ học.</t>
  </si>
  <si>
    <t>Gợi ý bằng chứng nguồn: Trạng thái/kết quả: ____ | Mã nguồn: D-10</t>
  </si>
  <si>
    <t>TC-AIV1-053</t>
  </si>
  <si>
    <t>MAIN-D11</t>
  </si>
  <si>
    <t>D11</t>
  </si>
  <si>
    <t>Xác minh: Trẻ bấm MAIN tùy ý</t>
  </si>
  <si>
    <t>1. Ghi mã thiết bị, firmware, build ứng dụng, điện thoại/OS, mạng và thời điểm bắt đầu.
2. Thiết lập đúng trạng thái để kiểm tra: Trẻ bấm MAIN tùy ý.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</si>
  <si>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Khi đang học, nhấn ngắn MAIN không được trực tiếp nhảy mô-đun; trước tiên tạm dừng câu hiện tại và hỏi “Con cần cô giúp gì không?”, sau đó mới đi theo luồng có kiểm soát.</t>
  </si>
  <si>
    <t>Gợi ý bằng chứng nguồn: Video: ____ | Mã nguồn: D-11</t>
  </si>
  <si>
    <t>TC-AIV1-054</t>
  </si>
  <si>
    <t>MAIN-D12</t>
  </si>
  <si>
    <t>D12</t>
  </si>
  <si>
    <t>Xác minh: Khả năng nhận diện có kiểm soát tại chỗ</t>
  </si>
  <si>
    <t>1. Ghi mã thiết bị, firmware, build ứng dụng, điện thoại/OS, mạng và thời điểm bắt đầu.
2. Thiết lập đúng trạng thái để kiểm tra: Khả năng nhận diện có kiểm soát tại chỗ.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</si>
  <si>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Xác nhận lệnh MAIN ưu tiên dùng bộ từ điển ý định có kiểm soát, chuẩn hóa, lọc theo trạng thái hiện tại và fallback; không được phụ thuộc vào mô hình dịch trên cloud để đoán hội thoại tự do tại thời điểm chạy.</t>
  </si>
  <si>
    <t>Gợi ý bằng chứng nguồn: Triển khai/log: ____ | Mã nguồn: D-12</t>
  </si>
  <si>
    <t>TC-AIV1-055</t>
  </si>
  <si>
    <t>TRANS-E01</t>
  </si>
  <si>
    <t>Dịch Việt-Anh</t>
  </si>
  <si>
    <t>Xác minh: Khởi động dịch từng câu</t>
  </si>
  <si>
    <t>TR-CORE-*, TR-SLOW-01, NET-WIFI, NET-WEAK, NET-OFFLINE.</t>
  </si>
  <si>
    <t>1. Ghi mã thiết bị, firmware, build ứng dụng, điện thoại/OS, mạng và thời điểm bắt đầu.
2. Thiết lập đúng trạng thái để kiểm tra: Khởi động dịch từng câu.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</si>
  <si>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Ở trạng thái dịch từng câu, sau khi bấm MAIN chỉ thu đúng một câu lần này; khi trẻ dừng nói thì kết thúc và hiển thị câu gốc tiếng Việt, câu tiếng Anh có kiểm soát và kết quả phát âm thanh.</t>
  </si>
  <si>
    <t>Gợi ý bằng chứng nguồn: Video/thời gian: ____ | Mã nguồn: E-01</t>
  </si>
  <si>
    <t>TC-AIV1-056</t>
  </si>
  <si>
    <t>TRANS-E02</t>
  </si>
  <si>
    <t>E02</t>
  </si>
  <si>
    <t>Xác minh: Độ đầy đủ của dịch từng câu</t>
  </si>
  <si>
    <t>1. Ghi mã thiết bị, firmware, build ứng dụng, điện thoại/OS, mạng và thời điểm bắt đầu.
2. Thiết lập đúng trạng thái để kiểm tra: Độ đầy đủ của dịch từng câu.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</si>
  <si>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Trong câu ngắn của trẻ, các thông tin quan trọng như cách xưng hô, chủ ngữ, phủ định, nhu cầu... không được thường xuyên bị mất. Ví dụ câu “Mẹ ơi, con muốn mua cái này” mà mất “Mẹ ơi” thì phải phân loại và ghi lại.</t>
  </si>
  <si>
    <t>Gợi ý bằng chứng nguồn: Câu gốc/kết quả: ____ | Mã nguồn: E-02</t>
  </si>
  <si>
    <t>TC-AIV1-057</t>
  </si>
  <si>
    <t>TRANS-E03</t>
  </si>
  <si>
    <t>E03</t>
  </si>
  <si>
    <t>Xác minh: Khởi động dịch liên tục</t>
  </si>
  <si>
    <t>1. Ghi mã thiết bị, firmware, build ứng dụng, điện thoại/OS, mạng và thời điểm bắt đầu.
2. Thiết lập đúng trạng thái để kiểm tra: Khởi động dịch liên tục.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</si>
  <si>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Sau khi chọn dịch liên tục, trẻ có thể nói nhiều lượt mà không cần bấm MAIN cho từng câu; giao diện/giọng nói phải thông báo rõ đang ở chế độ liên tục.</t>
  </si>
  <si>
    <t>Gợi ý bằng chứng nguồn: Video: ____ | Mã nguồn: E-03</t>
  </si>
  <si>
    <t>TC-AIV1-058</t>
  </si>
  <si>
    <t>TRANS-E04</t>
  </si>
  <si>
    <t>E04</t>
  </si>
  <si>
    <t>Xác minh: Dừng dịch liên tục</t>
  </si>
  <si>
    <t>1. Ghi mã thiết bị, firmware, build ứng dụng, điện thoại/OS, mạng và thời điểm bắt đầu.
2. Thiết lập đúng trạng thái để kiểm tra: Dừng dịch liên tục.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</si>
  <si>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Nói “Dừng lại” hoặc nhấn giữ MAIN phải dừng được; sau khi dừng, tiếng môi trường không còn được gửi lên/xử lý.</t>
  </si>
  <si>
    <t>Gợi ý bằng chứng nguồn: Kết quả: ____ | Mã nguồn: E-04</t>
  </si>
  <si>
    <t>TC-AIV1-059</t>
  </si>
  <si>
    <t>TRANS-E05</t>
  </si>
  <si>
    <t>E05</t>
  </si>
  <si>
    <t>Xác minh: Xác định khoảng im lặng</t>
  </si>
  <si>
    <t>1. Ghi mã thiết bị, firmware, build ứng dụng, điện thoại/OS, mạng và thời điểm bắt đầu.
2. Thiết lập đúng trạng thái để kiểm tra: Xác định khoảng im lặng.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</si>
  <si>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Khoảng dừng tự nhiên, nói chậm hoặc dừng giữa câu của trẻ không được bị cắt quá sớm; đồng thời không được chờ quá lâu gây cảm giác chậm. Ghi lại ngưỡng im lặng thực tế.</t>
  </si>
  <si>
    <t>Gợi ý bằng chứng nguồn: Ngưỡng/mẫu: ____ | Mã nguồn: E-05</t>
  </si>
  <si>
    <t>TC-AIV1-060</t>
  </si>
  <si>
    <t>TRANS-E06</t>
  </si>
  <si>
    <t>E06</t>
  </si>
  <si>
    <t>Xác minh: Độ trễ đầu-cuối</t>
  </si>
  <si>
    <t>1. Ghi mã thiết bị, firmware, build ứng dụng, điện thoại/OS, mạng và thời điểm bắt đầu.
2. Thiết lập đúng trạng thái để kiểm tra: Độ trễ đầu-cuối.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</si>
  <si>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Ghi thời gian thực tế theo từng giai đoạn: “trẻ nói xong → xuất hiện nhận diện tiếng Việt → tạo câu tiếng Anh → thiết bị bắt đầu phát”. Thời gian tải trang chủ và tải dịch phải ghi riêng.</t>
  </si>
  <si>
    <t>Gợi ý bằng chứng nguồn: Số giây: ____ | Mã nguồn: E-06</t>
  </si>
  <si>
    <t>TC-AIV1-061</t>
  </si>
  <si>
    <t>TRANS-E07</t>
  </si>
  <si>
    <t>E07</t>
  </si>
  <si>
    <t>Xác minh: Thông báo khi thất bại</t>
  </si>
  <si>
    <t>1. Ghi mã thiết bị, firmware, build ứng dụng, điện thoại/OS, mạng và thời điểm bắt đầu.
2. Thiết lập đúng trạng thái để kiểm tra: Thông báo khi thất bại.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</si>
  <si>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Khi mạng yếu, API lỗi, không có tiếng hoặc nghe không rõ, phải có lời nhắc trẻ hiểu được và cho phép thử lại; không được im lặng quá lâu hoặc xoay tải vô hạn.</t>
  </si>
  <si>
    <t>Gợi ý bằng chứng nguồn: Tình huống/lời nhắc: ____ | Mã nguồn: E-07</t>
  </si>
  <si>
    <t>TC-AIV1-062</t>
  </si>
  <si>
    <t>TRANS-E08</t>
  </si>
  <si>
    <t>E08</t>
  </si>
  <si>
    <t>Xác minh: Lịch sử và nghe lại</t>
  </si>
  <si>
    <t>1. Ghi mã thiết bị, firmware, build ứng dụng, điện thoại/OS, mạng và thời điểm bắt đầu.
2. Thiết lập đúng trạng thái để kiểm tra: Lịch sử và nghe lại.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</si>
  <si>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Nội dung lưu lịch sử dịch, lọc và nghe lại phải khớp với nội dung thực tế đã phát; phụ huynh xem được, trẻ không cần thao tác trên điện thoại.</t>
  </si>
  <si>
    <t>Gợi ý bằng chứng nguồn: Kết quả: ____ | Mã nguồn: E-08</t>
  </si>
  <si>
    <t>TC-AIV1-063</t>
  </si>
  <si>
    <t>LEARN-F01</t>
  </si>
  <si>
    <t>F01</t>
  </si>
  <si>
    <t>Học theo chủ đề</t>
  </si>
  <si>
    <t>Xác minh: Bài học theo chủ đề phù hợp độ tuổi</t>
  </si>
  <si>
    <t>AGE-*, CONTENT-*, SAFE-* và tài khoản phụ huynh/trẻ.</t>
  </si>
  <si>
    <t>1. Ghi mã thiết bị, firmware, build ứng dụng, điện thoại/OS, mạng và thời điểm bắt đầu.
2. Thiết lập đúng trạng thái để kiểm tra: Bài học theo chủ đề phù hợp độ tuổi.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</si>
  <si>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Sau khi phụ huynh đặt tuổi lần đầu, chủ đề và độ khó câu hiển thị phải phù hợp nhóm tuổi; trẻ không cần cầm điện thoại để chọn từng bài.</t>
  </si>
  <si>
    <t>Gợi ý bằng chứng nguồn: Độ tuổi/bài học: ____ | Mã nguồn: F-01</t>
  </si>
  <si>
    <t>TC-AIV1-064</t>
  </si>
  <si>
    <t>LEARN-F02</t>
  </si>
  <si>
    <t>F02</t>
  </si>
  <si>
    <t>Xác minh: Cấu trúc bài học rõ ràng</t>
  </si>
  <si>
    <t>1. Ghi mã thiết bị, firmware, build ứng dụng, điện thoại/OS, mạng và thời điểm bắt đầu.
2. Thiết lập đúng trạng thái để kiểm tra: Cấu trúc bài học rõ ràng.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</si>
  <si>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Luồng Chủ đề → Bài học → Câu phải rõ; số câu mỗi bài, tiến độ và thời lượng dự kiến phải đúng thực tế, không mô tả phóng đại kết quả học tập.</t>
  </si>
  <si>
    <t>Gợi ý bằng chứng nguồn: Ảnh chụp: ____ | Mã nguồn: F-02</t>
  </si>
  <si>
    <t>TC-AIV1-065</t>
  </si>
  <si>
    <t>LEARN-F03</t>
  </si>
  <si>
    <t>F03</t>
  </si>
  <si>
    <t>Xác minh: Tự động hướng dẫn trong bài học</t>
  </si>
  <si>
    <t>1. Ghi mã thiết bị, firmware, build ứng dụng, điện thoại/OS, mạng và thời điểm bắt đầu.
2. Thiết lập đúng trạng thái để kiểm tra: Tự động hướng dẫn trong bài học.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</si>
  <si>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Thiết bị phát câu hiện tại, lời nhắc luyện nói theo và phản hồi hoàn thành một cách tự nhiên; trong bài có thể chủ động nhắc trẻ nói “Nghe lại / Câu tiếp theo / Dừng lại”.</t>
  </si>
  <si>
    <t>Gợi ý bằng chứng nguồn: Ghi âm/phản hồi: ____ | Mã nguồn: F-03</t>
  </si>
  <si>
    <t>TC-AIV1-066</t>
  </si>
  <si>
    <t>LEARN-F04</t>
  </si>
  <si>
    <t>F04</t>
  </si>
  <si>
    <t>Xác minh: Quy trình ghi âm luyện nói theo</t>
  </si>
  <si>
    <t>1. Ghi mã thiết bị, firmware, build ứng dụng, điện thoại/OS, mạng và thời điểm bắt đầu.
2. Thiết lập đúng trạng thái để kiểm tra: Quy trình ghi âm luyện nói theo.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</si>
  <si>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Khi vào phần luyện nói theo, APP có thể tự bắt đầu ghi âm và kết thúc dựa trên khoảng im lặng; trẻ không cần nhớ thêm nút ghi âm. Nếu chưa bật chức năng này, phải ghi rõ là chưa bật.</t>
  </si>
  <si>
    <t>Gợi ý bằng chứng nguồn: Kết quả: ____ | Mã nguồn: F-04</t>
  </si>
  <si>
    <t>TC-AIV1-067</t>
  </si>
  <si>
    <t>LEARN-F05</t>
  </si>
  <si>
    <t>F05</t>
  </si>
  <si>
    <t>Xác minh: Luyện lại</t>
  </si>
  <si>
    <t>1. Ghi mã thiết bị, firmware, build ứng dụng, điện thoại/OS, mạng và thời điểm bắt đầu.
2. Thiết lập đúng trạng thái để kiểm tra: Luyện lại.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</si>
  <si>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Chỉ hiển thị/phát những câu trẻ chưa thuộc hoặc được khuyến nghị luyện lại; nguồn và quy tắc đánh giá phải giải thích được, số lượng tự thay đổi theo bài học và độ tuổi.</t>
  </si>
  <si>
    <t>Gợi ý bằng chứng nguồn: Nguồn/kết quả: ____ | Mã nguồn: F-05</t>
  </si>
  <si>
    <t>TC-AIV1-068</t>
  </si>
  <si>
    <t>LEARN-F06</t>
  </si>
  <si>
    <t>F06</t>
  </si>
  <si>
    <t>Xác minh: Ngôi sao của con</t>
  </si>
  <si>
    <t>1. Ghi mã thiết bị, firmware, build ứng dụng, điện thoại/OS, mạng và thời điểm bắt đầu.
2. Thiết lập đúng trạng thái để kiểm tra: Ngôi sao của con.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</si>
  <si>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Hiển thị nội dung trẻ đã nắm được để tạo cảm giác thành tựu tích cực; không được đánh dấu nội dung chưa luyện là đã nắm.</t>
  </si>
  <si>
    <t>Gợi ý bằng chứng nguồn: Kết quả: ____ | Mã nguồn: F-06</t>
  </si>
  <si>
    <t>TC-AIV1-069</t>
  </si>
  <si>
    <t>LEARN-F07</t>
  </si>
  <si>
    <t>F07</t>
  </si>
  <si>
    <t>Xác minh: Phụ huynh thêm nội dung</t>
  </si>
  <si>
    <t>1. Ghi mã thiết bị, firmware, build ứng dụng, điện thoại/OS, mạng và thời điểm bắt đầu.
2. Thiết lập đúng trạng thái để kiểm tra: Phụ huynh thêm nội dung.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</si>
  <si>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Chỉ phụ huynh thêm từ, cụm từ hoặc câu trên điện thoại; trẻ không cần thao tác trên điện thoại. Nội dung mới có thể được phụ huynh xác nhận trước khi đưa vào học.</t>
  </si>
  <si>
    <t>Gợi ý bằng chứng nguồn: Nội dung/kết quả: ____ | Mã nguồn: F-07</t>
  </si>
  <si>
    <t>TC-AIV1-070</t>
  </si>
  <si>
    <t>LEARN-F08</t>
  </si>
  <si>
    <t>F08</t>
  </si>
  <si>
    <t>Xác minh: Tạo câu từ từ đơn</t>
  </si>
  <si>
    <t>1. Ghi mã thiết bị, firmware, build ứng dụng, điện thoại/OS, mạng và thời điểm bắt đầu.
2. Thiết lập đúng trạng thái để kiểm tra: Tạo câu từ từ đơn.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</si>
  <si>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Khi phụ huynh chỉ thêm một từ, ưu tiên tìm câu phù hợp độ tuổi từ kho 5.000 câu tần suất cao đã được duyệt; nếu không có câu phù hợp thì báo chờ xác nhận, không tự tạo nội dung không phù hợp tuổi.</t>
  </si>
  <si>
    <t>Gợi ý bằng chứng nguồn: Nguồn từ/câu: ____ | Mã nguồn: F-08</t>
  </si>
  <si>
    <t>TC-AIV1-071</t>
  </si>
  <si>
    <t>LEARN-F09</t>
  </si>
  <si>
    <t>F09</t>
  </si>
  <si>
    <t>Xác minh: Âm thanh tạo sẵn và phát lại</t>
  </si>
  <si>
    <t>1. Ghi mã thiết bị, firmware, build ứng dụng, điện thoại/OS, mạng và thời điểm bắt đầu.
2. Thiết lập đúng trạng thái để kiểm tra: Âm thanh tạo sẵn và phát lại.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</si>
  <si>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Âm thanh hiện có của mô-đun chủ đề phải phát ổn định; nếu sau này tạo sẵn âm thanh cho kho câu tần suất cao, phải ghi rõ nguồn cache, không được nói chức năng đã có khi chưa tạo.</t>
  </si>
  <si>
    <t>Gợi ý bằng chứng nguồn: ID nội dung: ____ | Mã nguồn: F-09</t>
  </si>
  <si>
    <t>TC-AIV1-072</t>
  </si>
  <si>
    <t>LEARN-F10</t>
  </si>
  <si>
    <t>F10</t>
  </si>
  <si>
    <t>Xác minh: Có kiểm soát, phù hợp độ tuổi và an toàn</t>
  </si>
  <si>
    <t>1. Ghi mã thiết bị, firmware, build ứng dụng, điện thoại/OS, mạng và thời điểm bắt đầu.
2. Thiết lập đúng trạng thái để kiểm tra: Có kiểm soát, phù hợp độ tuổi và an toàn.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</si>
  <si>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Nội dung không được có từ tục, xúc phạm, tình dục, bạo lực/đẫm máu...; câu tiếng Anh phải ngắn, có kiểm soát và phù hợp độ tuổi. Đầu vào bất thường phải có phản hồi an toàn.</t>
  </si>
  <si>
    <t>Gợi ý bằng chứng nguồn: Mẫu kiểm tra ngẫu nhiên: ____ | Mã nguồn: F-10</t>
  </si>
  <si>
    <t>TC-AIV1-073</t>
  </si>
  <si>
    <t>LEARN-F11</t>
  </si>
  <si>
    <t>F11</t>
  </si>
  <si>
    <t>Xác minh: Hoàn thành và thoát bài học</t>
  </si>
  <si>
    <t>1. Ghi mã thiết bị, firmware, build ứng dụng, điện thoại/OS, mạng và thời điểm bắt đầu.
2. Thiết lập đúng trạng thái để kiểm tra: Hoàn thành và thoát bài học.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</si>
  <si>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Sau khi trẻ gián đoạn, tạm dừng rồi vào lại, hệ thống phải tiếp tục đúng hoặc cho học lại từ đầu; phụ huynh có thể điều chỉnh bài học trên điện thoại.</t>
  </si>
  <si>
    <t>Gợi ý bằng chứng nguồn: Kết quả: ____ | Mã nguồn: F-11</t>
  </si>
  <si>
    <t>TC-AIV1-074</t>
  </si>
  <si>
    <t>VOICE-G01</t>
  </si>
  <si>
    <t>Giọng trẻ/ASR/VAD</t>
  </si>
  <si>
    <t>Xác minh: Bao phủ giọng nói trẻ em thật</t>
  </si>
  <si>
    <t>Privacy</t>
  </si>
  <si>
    <t>Đã điền sheet Cấu hình; thiết bị mẫu, firmware và build ứng dụng được khóa phiên bản; thư mục bằng chứng đã tạo. Có đồng ý hợp lệ; dữ liệu trẻ được mã hóa ẩn danh; mẫu vùng giọng và môi trường đã chuẩn bị.</t>
  </si>
  <si>
    <t>VOICE-B/N/T, ENV-QUIET, ENV-TV, ENV-CLASS; hồ sơ consent ẩn danh.</t>
  </si>
  <si>
    <t>1. Ghi mã thiết bị, firmware, build ứng dụng, điện thoại/OS, mạng và thời điểm bắt đầu.
2. Thiết lập đúng trạng thái để kiểm tra: Bao phủ giọng nói trẻ em thật.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</si>
  <si>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Dùng mẫu trẻ thật đã được đồng ý, bao phủ độ tuổi, bé trai/bé gái và Bắc/Trung/Nam; mỗi đợt mẫu phải lưu nguồn và hồ sơ đồng ý sử dụng.</t>
  </si>
  <si>
    <t>Gợi ý bằng chứng nguồn: Đợt/độ bao phủ: ____ | Mã nguồn: G-01</t>
  </si>
  <si>
    <t>TC-AIV1-075</t>
  </si>
  <si>
    <t>VOICE-G02</t>
  </si>
  <si>
    <t>Xác minh: Khác biệt Bắc/Trung/Nam</t>
  </si>
  <si>
    <t>Voice/Localization</t>
  </si>
  <si>
    <t>1. Ghi mã thiết bị, firmware, build ứng dụng, điện thoại/OS, mạng và thời điểm bắt đầu.
2. Thiết lập đúng trạng thái để kiểm tra: Khác biệt Bắc/Trung/Nam.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</si>
  <si>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Với cùng một ý định có kiểm soát và câu học cốt lõi, test cách nói thường gặp của Bắc/Trung/Nam; nếu có lỗi phải ghi rõ khu vực, không được ghi chung chung “tiếng Việt không chuẩn”.</t>
  </si>
  <si>
    <t>Gợi ý bằng chứng nguồn: Khu vực/tỷ lệ nhận diện: ____ | Mã nguồn: G-02</t>
  </si>
  <si>
    <t>TC-AIV1-076</t>
  </si>
  <si>
    <t>VOICE-G03</t>
  </si>
  <si>
    <t>Xác minh: Môi trường bình thường</t>
  </si>
  <si>
    <t>1. Ghi mã thiết bị, firmware, build ứng dụng, điện thoại/OS, mạng và thời điểm bắt đầu.
2. Thiết lập đúng trạng thái để kiểm tra: Môi trường bình thường.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</si>
  <si>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Trong phòng yên tĩnh, test trẻ nói với âm lượng, khoảng cách và tốc độ bình thường; ghi lại mất từ, nhận diện sai, dịch chưa phù hợp và độ trễ.</t>
  </si>
  <si>
    <t>Gợi ý bằng chứng nguồn: Số mẫu: ____ | Mã nguồn: G-03</t>
  </si>
  <si>
    <t>TC-AIV1-077</t>
  </si>
  <si>
    <t>VOICE-G04</t>
  </si>
  <si>
    <t>Xác minh: Môi trường có tiếng ồn</t>
  </si>
  <si>
    <t>1. Ghi mã thiết bị, firmware, build ứng dụng, điện thoại/OS, mạng và thời điểm bắt đầu.
2. Thiết lập đúng trạng thái để kiểm tra: Môi trường có tiếng ồn.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</si>
  <si>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Test với tiếng TV gia đình, người lớn nói chuyện, tiếng lớp học...; trọng tâm là không nhận nhầm giọng người khác thành lệnh của trẻ hoặc nội dung cần dịch.</t>
  </si>
  <si>
    <t>Gợi ý bằng chứng nguồn: Tiếng ồn/kết quả: ____ | Mã nguồn: G-04</t>
  </si>
  <si>
    <t>TC-AIV1-078</t>
  </si>
  <si>
    <t>VOICE-G05</t>
  </si>
  <si>
    <t>Xác minh: Phân loại lỗi</t>
  </si>
  <si>
    <t>1. Ghi mã thiết bị, firmware, build ứng dụng, điện thoại/OS, mạng và thời điểm bắt đầu.
2. Thiết lập đúng trạng thái để kiểm tra: Phân loại lỗi.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</si>
  <si>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Mỗi lỗi trước tiên phải xác định thuộc: thu âm / ASR nghe sai / VAD cắt sớm / cách diễn đạt dịch / TTS phát / trễ mạng / state machine hoặc nút bấm. Không được chỉ ghi “dịch không chính xác”.</t>
  </si>
  <si>
    <t>Gợi ý bằng chứng nguồn: Phiếu vấn đề: ____ | Mã nguồn: G-05</t>
  </si>
  <si>
    <t>TC-AIV1-079</t>
  </si>
  <si>
    <t>VOICE-G06</t>
  </si>
  <si>
    <t>Xác minh: Bộ hồi quy cố định</t>
  </si>
  <si>
    <t>1. Ghi mã thiết bị, firmware, build ứng dụng, điện thoại/OS, mạng và thời điểm bắt đầu.
2. Thiết lập đúng trạng thái để kiểm tra: Bộ hồi quy cố định.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</si>
  <si>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Đưa âm thanh và kết quả chuẩn của các lỗi đã xác nhận vào bộ hồi quy cố định; sau mỗi lần sửa chỉ cần test lại nhóm liên quan rồi chạy hồi quy cố định, không cần test mù lại toàn bộ mẫu.</t>
  </si>
  <si>
    <t>Gợi ý bằng chứng nguồn: Phiên bản bộ hồi quy: ____ | Mã nguồn: G-06</t>
  </si>
  <si>
    <t>TC-AIV1-080</t>
  </si>
  <si>
    <t>VOICE-G07</t>
  </si>
  <si>
    <t>Xác minh: Rà soát trường hợp mất từ điển hình</t>
  </si>
  <si>
    <t>1. Ghi mã thiết bị, firmware, build ứng dụng, điện thoại/OS, mạng và thời điểm bắt đầu.
2. Thiết lập đúng trạng thái để kiểm tra: Rà soát trường hợp mất từ điển hình.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</si>
  <si>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Nếu câu như “Mẹ ơi, con muốn mua cái này” bị mất phần xưng hô, trước tiên phải lưu âm thanh gốc, bản chép chuẩn thủ công, kết quả ASR, kết quả dịch và timestamp rồi mới định vị sửa lỗi.</t>
  </si>
  <si>
    <t>Gợi ý bằng chứng nguồn: Mã ca: ____ | Mã nguồn: G-07</t>
  </si>
  <si>
    <t>TC-AIV1-081</t>
  </si>
  <si>
    <t>VOICE-G08</t>
  </si>
  <si>
    <t>Xác minh: Quyền riêng tư dữ liệu kiểm thử</t>
  </si>
  <si>
    <t>1. Ghi mã thiết bị, firmware, build ứng dụng, điện thoại/OS, mạng và thời điểm bắt đầu.
2. Thiết lập đúng trạng thái để kiểm tra: Quyền riêng tư dữ liệu kiểm thử.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</si>
  <si>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Chỉ thu âm trẻ ở mức tối thiểu cần thiết, sử dụng đúng phạm vi đã được đồng ý, mã hóa ẩn danh và lưu có kiểm soát; cấm lấy hoặc dùng giọng trẻ từ video ngắn/mạng xã hội khi chưa được cho phép làm dữ liệu sản phẩm.</t>
  </si>
  <si>
    <t>Gợi ý bằng chứng nguồn: Ủy quyền/đường dẫn: ____ | Mã nguồn: G-08</t>
  </si>
  <si>
    <t>TC-AIV1-082</t>
  </si>
  <si>
    <t>COMP-H01</t>
  </si>
  <si>
    <t>H01</t>
  </si>
  <si>
    <t>Tương thích/ổn định</t>
  </si>
  <si>
    <t>Xác minh: Các mẫu Android phổ biến</t>
  </si>
  <si>
    <t>Compatibility</t>
  </si>
  <si>
    <t>Đã điền sheet Cấu hình; thiết bị mẫu, firmware và build ứng dụng được khóa phiên bản; thư mục bằng chứng đã tạo.</t>
  </si>
  <si>
    <t>DEV-AND-01/02, DEV-IOS-01; NET-*; INT-CALL/LOCK/BG/AUDIO.</t>
  </si>
  <si>
    <t>1. Ghi mã thiết bị, firmware, build ứng dụng, điện thoại/OS, mạng và thời điểm bắt đầu.
2. Thiết lập đúng trạng thái để kiểm tra: Các mẫu Android phổ biến.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</si>
  <si>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Ít nhất bao phủ một mẫu Android phổ biến tại Việt Nam và một Android khác thương hiệu/phiên bản hệ điều hành; chạy đầy đủ kết nối, âm thanh, MAIN, học, dịch và kết nối lại.</t>
  </si>
  <si>
    <t>Gợi ý bằng chứng nguồn: Mẫu máy/hệ điều hành: ____ | Mã nguồn: H-01</t>
  </si>
  <si>
    <t>TC-AIV1-083</t>
  </si>
  <si>
    <t>COMP-H02</t>
  </si>
  <si>
    <t>H02</t>
  </si>
  <si>
    <t>Xác minh: iPhone thật</t>
  </si>
  <si>
    <t>1. Ghi mã thiết bị, firmware, build ứng dụng, điện thoại/OS, mạng và thời điểm bắt đầu.
2. Thiết lập đúng trạng thái để kiểm tra: iPhone thật.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</si>
  <si>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Ít nhất một iPhone thật phải chạy đầy đủ kết nối, ghi âm, phát âm thanh, kết nối lại Bluetooth và quy trình cốt lõi; nếu chưa hoàn thành chỉ được ghi “Chưa test”.</t>
  </si>
  <si>
    <t>Gợi ý bằng chứng nguồn: Mẫu máy/iOS: ____ | Mã nguồn: H-02</t>
  </si>
  <si>
    <t>TC-AIV1-084</t>
  </si>
  <si>
    <t>COMP-H03</t>
  </si>
  <si>
    <t>H03</t>
  </si>
  <si>
    <t>Xác minh: Nền/trước và khóa màn hình</t>
  </si>
  <si>
    <t>1. Ghi mã thiết bị, firmware, build ứng dụng, điện thoại/OS, mạng và thời điểm bắt đầu.
2. Thiết lập đúng trạng thái để kiểm tra: Nền/trước và khóa màn hình.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</si>
  <si>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Khi APP chuyển nền, bật/tắt màn hình hoặc có cuộc gọi/thông báo, hành vi ghi âm, phát âm thanh và trạng thái Bluetooth phải đúng thiết kế; không xảy ra lỗi im lặng.</t>
  </si>
  <si>
    <t>Gợi ý bằng chứng nguồn: Kết quả: ____ | Mã nguồn: H-03</t>
  </si>
  <si>
    <t>TC-AIV1-085</t>
  </si>
  <si>
    <t>COMP-H04</t>
  </si>
  <si>
    <t>H04</t>
  </si>
  <si>
    <t>Xác minh: Tải khi khởi động nguội</t>
  </si>
  <si>
    <t>1. Ghi mã thiết bị, firmware, build ứng dụng, điện thoại/OS, mạng và thời điểm bắt đầu.
2. Thiết lập đúng trạng thái để kiểm tra: Tải khi khởi động nguội.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</si>
  <si>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Đo riêng lần mở đầu tiên và các lần mở sau; trong lúc tải phải có tiến độ thực tế/lời nhắc dễ hiểu, không được ở trạng thái “đang chuẩn bị” quá lâu mà không phản hồi.</t>
  </si>
  <si>
    <t>Gợi ý bằng chứng nguồn: Số giây: ____ | Mã nguồn: H-04</t>
  </si>
  <si>
    <t>TC-AIV1-086</t>
  </si>
  <si>
    <t>COMP-H05</t>
  </si>
  <si>
    <t>H05</t>
  </si>
  <si>
    <t>Xác minh: Tải xử lý dịch</t>
  </si>
  <si>
    <t>1. Ghi mã thiết bị, firmware, build ứng dụng, điện thoại/OS, mạng và thời điểm bắt đầu.
2. Thiết lập đúng trạng thái để kiểm tra: Tải xử lý dịch.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</si>
  <si>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Sau khi ghi âm xong, từng giai đoạn nhận diện, tạo tiếng Anh có kiểm soát và TTS phải có phản hồi; lỗi có thể thử lại; ghi sự khác biệt giữa Android và iPhone.</t>
  </si>
  <si>
    <t>Gợi ý bằng chứng nguồn: Số giây/vấn đề: ____ | Mã nguồn: H-05</t>
  </si>
  <si>
    <t>TC-AIV1-087</t>
  </si>
  <si>
    <t>COMP-H06</t>
  </si>
  <si>
    <t>H06</t>
  </si>
  <si>
    <t>Xác minh: Mạng yếu / mất mạng</t>
  </si>
  <si>
    <t>1. Ghi mã thiết bị, firmware, build ứng dụng, điện thoại/OS, mạng và thời điểm bắt đầu.
2. Thiết lập đúng trạng thái để kiểm tra: Mạng yếu / mất mạng.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</si>
  <si>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Khi mất mạng không được báo nhầm là thành công; phải có thông báo rõ cho trẻ/phụ huynh; khi mạng trở lại phải tiếp tục dùng được và không mất trạng thái hiện tại.</t>
  </si>
  <si>
    <t>Gợi ý bằng chứng nguồn: Kết quả: ____ | Mã nguồn: H-06</t>
  </si>
  <si>
    <t>TC-AIV1-088</t>
  </si>
  <si>
    <t>COMP-H07</t>
  </si>
  <si>
    <t>H07</t>
  </si>
  <si>
    <t>Xác minh: Bluetooth và các nguồn âm thanh khác</t>
  </si>
  <si>
    <t>1. Ghi mã thiết bị, firmware, build ứng dụng, điện thoại/OS, mạng và thời điểm bắt đầu.
2. Thiết lập đúng trạng thái để kiểm tra: Bluetooth và các nguồn âm thanh khác.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</si>
  <si>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Khi điện thoại đồng thời kết nối thiết bị âm thanh khác hoặc nhận cuộc gọi, ưu tiên H20 và cách khôi phục phải có hành vi dự đoán được và có mô tả rõ.</t>
  </si>
  <si>
    <t>Gợi ý bằng chứng nguồn: Tình huống: ____ | Mã nguồn: H-07</t>
  </si>
  <si>
    <t>TC-AIV1-089</t>
  </si>
  <si>
    <t>COMP-H08</t>
  </si>
  <si>
    <t>H08</t>
  </si>
  <si>
    <t>Xác minh: Crash và bộ nhớ</t>
  </si>
  <si>
    <t>1. Ghi mã thiết bị, firmware, build ứng dụng, điện thoại/OS, mạng và thời điểm bắt đầu.
2. Thiết lập đúng trạng thái để kiểm tra: Crash và bộ nhớ.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</si>
  <si>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Sau nhiều vòng học/dịch liên tục không được crash, giật rõ rệt, nóng bất thường hoặc hao pin bất thường; mọi bất thường phải có log.</t>
  </si>
  <si>
    <t>Gợi ý bằng chứng nguồn: Thời lượng/log: ____ | Mã nguồn: H-08</t>
  </si>
  <si>
    <t>TC-AIV1-090</t>
  </si>
  <si>
    <t>COMP-H09</t>
  </si>
  <si>
    <t>H09</t>
  </si>
  <si>
    <t>Xác minh: Tương thích khi nâng cấp phiên bản</t>
  </si>
  <si>
    <t>1. Ghi mã thiết bị, firmware, build ứng dụng, điện thoại/OS, mạng và thời điểm bắt đầu.
2. Thiết lập đúng trạng thái để kiểm tra: Tương thích khi nâng cấp phiên bản.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</si>
  <si>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Sau khi nâng cấp APK, lịch sử, tiến độ bài học và kết nối thiết bị không được mất mà không báo; hạ phiên bản/không tương thích phải có cảnh báo an toàn.</t>
  </si>
  <si>
    <t>Gợi ý bằng chứng nguồn: Phiên bản: ____ | Mã nguồn: H-09</t>
  </si>
  <si>
    <t>TC-AIV1-091</t>
  </si>
  <si>
    <t>UX-I01</t>
  </si>
  <si>
    <t>I01</t>
  </si>
  <si>
    <t>Usability/UAT</t>
  </si>
  <si>
    <t>Xác minh: Khả năng trẻ tự sử dụng</t>
  </si>
  <si>
    <t>Đã điền sheet Cấu hình; thiết bị mẫu, firmware và build ứng dụng được khóa phiên bản; thư mục bằng chứng đã tạo. Có người giám sát; phụ huynh đồng ý; không thu thập dữ liệu trẻ ngoài phạm vi được phép.</t>
  </si>
  <si>
    <t>UAT-CHILD-*, UAT-PARENT-*; kịch bản quan sát có đồng ý.</t>
  </si>
  <si>
    <t>1. Ghi mã thiết bị, firmware, build ứng dụng, điện thoại/OS, mạng và thời điểm bắt đầu.
2. Thiết lập đúng trạng thái để kiểm tra: Khả năng trẻ tự sử dụng.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</si>
  <si>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Khi trẻ chỉ cầm/đeo thiết bị và không cầm điện thoại, trẻ vẫn phải hoàn thành được bắt đầu, nghe, nói, tạm dừng/dừng và tiếp tục học cơ bản; không yêu cầu nhớ tổ hợp nút vật lý phức tạp.</t>
  </si>
  <si>
    <t>Gợi ý bằng chứng nguồn: Độ tuổi/quan sát: ____ | Mã nguồn: I-01</t>
  </si>
  <si>
    <t>TC-AIV1-092</t>
  </si>
  <si>
    <t>UX-I02</t>
  </si>
  <si>
    <t>I02</t>
  </si>
  <si>
    <t>Xác minh: Vai trò phụ huynh rõ ràng</t>
  </si>
  <si>
    <t>1. Ghi mã thiết bị, firmware, build ứng dụng, điện thoại/OS, mạng và thời điểm bắt đầu.
2. Thiết lập đúng trạng thái để kiểm tra: Vai trò phụ huynh rõ ràng.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</si>
  <si>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Phụ huynh chỉ phụ trách kết nối lần đầu, cài tuổi/bài học, thêm nội dung, xem lịch sử và quản lý quyền; hướng dẫn trên giao diện phải rõ.</t>
  </si>
  <si>
    <t>Gợi ý bằng chứng nguồn: Phản hồi: ____ | Mã nguồn: I-02</t>
  </si>
  <si>
    <t>TC-AIV1-093</t>
  </si>
  <si>
    <t>UX-I03</t>
  </si>
  <si>
    <t>I03</t>
  </si>
  <si>
    <t>Xác minh: Lời nhắc tự nhiên</t>
  </si>
  <si>
    <t>1. Ghi mã thiết bị, firmware, build ứng dụng, điện thoại/OS, mạng và thời điểm bắt đầu.
2. Thiết lập đúng trạng thái để kiểm tra: Lời nhắc tự nhiên.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</si>
  <si>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Lời nhắc tiếng Việt phải ngắn, thân thiện, phù hợp độ tuổi và không giống hướng dẫn kỹ thuật; trẻ phải hiểu các câu như “Con muốn làm gì?” và “Cô chưa nghe rõ, con nói lại nhé.”</t>
  </si>
  <si>
    <t>Gợi ý bằng chứng nguồn: Phản hồi của trẻ: ____ | Mã nguồn: I-03</t>
  </si>
  <si>
    <t>TC-AIV1-094</t>
  </si>
  <si>
    <t>UX-I04</t>
  </si>
  <si>
    <t>I04</t>
  </si>
  <si>
    <t>Xác minh: Quan sát mức độ hụt hẫng</t>
  </si>
  <si>
    <t>1. Ghi mã thiết bị, firmware, build ứng dụng, điện thoại/OS, mạng và thời điểm bắt đầu.
2. Thiết lập đúng trạng thái để kiểm tra: Quan sát mức độ hụt hẫng.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</si>
  <si>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Khi hệ thống không hiểu, mạng lỗi hoặc trẻ bấm nhầm MAIN, trẻ không bị mắc kẹt trong im lặng hoặc bị chuyển sai trang; ghi lại xem trẻ có muốn tiếp tục dùng hay không.</t>
  </si>
  <si>
    <t>Gợi ý bằng chứng nguồn: Quan sát: ____ | Mã nguồn: I-04</t>
  </si>
  <si>
    <t>TC-AIV1-095</t>
  </si>
  <si>
    <t>UX-I05</t>
  </si>
  <si>
    <t>I05</t>
  </si>
  <si>
    <t>Xác minh: Nhịp độ bài học</t>
  </si>
  <si>
    <t>1. Ghi mã thiết bị, firmware, build ứng dụng, điện thoại/OS, mạng và thời điểm bắt đầu.
2. Thiết lập đúng trạng thái để kiểm tra: Nhịp độ bài học.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</si>
  <si>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Số câu và thời lượng mỗi bài phải phù hợp với trẻ; có thể tạm dừng, tiếp tục và học lại từ đầu; không coi thời gian sử dụng liên tục dài là mục tiêu duy nhất.</t>
  </si>
  <si>
    <t>Gợi ý bằng chứng nguồn: Độ tuổi/phản hồi: ____ | Mã nguồn: I-05</t>
  </si>
  <si>
    <t>TC-AIV1-096</t>
  </si>
  <si>
    <t>UX-I06</t>
  </si>
  <si>
    <t>I06</t>
  </si>
  <si>
    <t>Xác minh: Cảm nhận về giá trị</t>
  </si>
  <si>
    <t>1. Ghi mã thiết bị, firmware, build ứng dụng, điện thoại/OS, mạng và thời điểm bắt đầu.
2. Thiết lập đúng trạng thái để kiểm tra: Cảm nhận về giá trị.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</si>
  <si>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Phụ huynh phải hiểu ý nghĩa của “Luyện lại / Ngôi sao của con / Nội dung mới thêm”, đồng thời không hiểu nhầm rằng sản phẩm cam kết dạy toàn bộ năng lực tiếng Anh.</t>
  </si>
  <si>
    <t>Gợi ý bằng chứng nguồn: Phỏng vấn: ____ | Mã nguồn: I-06</t>
  </si>
  <si>
    <t>TC-AIV1-097</t>
  </si>
  <si>
    <t>UX-I07</t>
  </si>
  <si>
    <t>I07</t>
  </si>
  <si>
    <t>Xác minh: Độ thoải mái và mức chấp nhận khi đeo</t>
  </si>
  <si>
    <t>1. Ghi mã thiết bị, firmware, build ứng dụng, điện thoại/OS, mạng và thời điểm bắt đầu.
2. Thiết lập đúng trạng thái để kiểm tra: Độ thoải mái và mức chấp nhận khi đeo.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</si>
  <si>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Trẻ sẵn sàng đeo/cầm thiết bị, không từ chối vì trọng lượng, kẹp, âm lượng, ngoại hình hoặc cảm giác nóng.</t>
  </si>
  <si>
    <t>Gợi ý bằng chứng nguồn: Thời lượng/phản hồi: ____ | Mã nguồn: I-07</t>
  </si>
  <si>
    <t>TC-AIV1-098</t>
  </si>
  <si>
    <t>UX-I08</t>
  </si>
  <si>
    <t>I08</t>
  </si>
  <si>
    <t>Xác minh: Ngôn ngữ truyền thông tránh rủi ro hậu mãi</t>
  </si>
  <si>
    <t>1. Ghi mã thiết bị, firmware, build ứng dụng, điện thoại/OS, mạng và thời điểm bắt đầu.
2. Thiết lập đúng trạng thái để kiểm tra: Ngôn ngữ truyền thông tránh rủi ro hậu mãi.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</si>
  <si>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APP/tài liệu hướng dẫn không được cam kết các năng lực chưa được xác minh như “mọi giọng đều chính xác 100%”, “không cần mạng”, “dịch vạn năng”.</t>
  </si>
  <si>
    <t>Gợi ý bằng chứng nguồn: Phiên bản nội dung: ____ | Mã nguồn: I-08</t>
  </si>
  <si>
    <t>TC-AIV1-099</t>
  </si>
  <si>
    <t>FUT-J01</t>
  </si>
  <si>
    <t>J01</t>
  </si>
  <si>
    <t>Future readiness</t>
  </si>
  <si>
    <t>Xác minh: Lộ trình nâng cấp firmware OTA</t>
  </si>
  <si>
    <t>1. Ghi mã thiết bị, firmware, build ứng dụng, điện thoại/OS, mạng và thời điểm bắt đầu.
2. Thiết lập đúng trạng thái để kiểm tra: Lộ trình nâng cấp firmware OTA.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</si>
  <si>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Xác nhận ODM/nhà cung cấp chip phụ trách firmware, ký gói nâng cấp, rollback khi lỗi và đọc phiên bản thiết bị như thế nào; nếu mẫu V1 chưa có OTA thì không được ghi “đã hỗ trợ”.</t>
  </si>
  <si>
    <t>Gợi ý bằng chứng nguồn: Người phụ trách/kế hoạch: ____ | Mã nguồn: J-01</t>
  </si>
  <si>
    <t>TC-AIV1-100</t>
  </si>
  <si>
    <t>FUT-J02</t>
  </si>
  <si>
    <t>J02</t>
  </si>
  <si>
    <t>Xác minh: Khả năng mở rộng giao thức phần cứng</t>
  </si>
  <si>
    <t>1. Ghi mã thiết bị, firmware, build ứng dụng, điện thoại/OS, mạng và thời điểm bắt đầu.
2. Thiết lập đúng trạng thái để kiểm tra: Khả năng mở rộng giao thức phần cứng.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</si>
  <si>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Cấu trúc dữ liệu nút bấm, pin và trạng thái phải có trường phiên bản; khi sửa giao thức cần tương thích thiết bị cũ hoặc có chiến lược nâng cấp rõ.</t>
  </si>
  <si>
    <t>Gợi ý bằng chứng nguồn: Phiên bản giao thức: ____ | Mã nguồn: J-02</t>
  </si>
  <si>
    <t>TC-AIV1-101</t>
  </si>
  <si>
    <t>FUT-J03</t>
  </si>
  <si>
    <t>J03</t>
  </si>
  <si>
    <t>Xác minh: Kiến trúc đa ngôn ngữ</t>
  </si>
  <si>
    <t>1. Ghi mã thiết bị, firmware, build ứng dụng, điện thoại/OS, mạng và thời điểm bắt đầu.
2. Thiết lập đúng trạng thái để kiểm tra: Kiến trúc đa ngôn ngữ.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</si>
  <si>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V1 bên ngoài chỉ xác minh Việt → Anh; tầng dưới cần cấu hình được ngôn ngữ đầu vào/đầu ra, quy tắc và TTS, không được hard-code tiếng Anh khiến sau này phải làm lại.</t>
  </si>
  <si>
    <t>Gợi ý bằng chứng nguồn: Bằng chứng thiết kế: ____ | Mã nguồn: J-03</t>
  </si>
  <si>
    <t>TC-AIV1-102</t>
  </si>
  <si>
    <t>FUT-J04</t>
  </si>
  <si>
    <t>J04</t>
  </si>
  <si>
    <t>Xác minh: Tiếng Việt → tiếng Trung</t>
  </si>
  <si>
    <t>1. Ghi mã thiết bị, firmware, build ứng dụng, điện thoại/OS, mạng và thời điểm bắt đầu.
2. Thiết lập đúng trạng thái để kiểm tra: Tiếng Việt → tiếng Trung.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</si>
  <si>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Định hướng ngôn ngữ tương lai; phải test riêng nhận diện tiếng Việt của trẻ, câu tiếng Trung có kiểm soát, TTS, an toàn nội dung và chi phí; không được quảng bá là đã có trong V1.</t>
  </si>
  <si>
    <t>Gợi ý bằng chứng nguồn: Kế hoạch: ____ | Mã nguồn: J-04</t>
  </si>
  <si>
    <t>TC-AIV1-103</t>
  </si>
  <si>
    <t>FUT-J05</t>
  </si>
  <si>
    <t>J05</t>
  </si>
  <si>
    <t>Xác minh: Tiếng Việt → tiếng Nhật / tiếng Hàn</t>
  </si>
  <si>
    <t>1. Ghi mã thiết bị, firmware, build ứng dụng, điện thoại/OS, mạng và thời điểm bắt đầu.
2. Thiết lập đúng trạng thái để kiểm tra: Tiếng Việt → tiếng Nhật / tiếng Hàn.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</si>
  <si>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Định hướng tương lai, cũng cần xác minh độc lập về nội dung, âm thanh, độ phù hợp văn hóa/độ tuổi và chất lượng; có sẵn kiến trúc kỹ thuật không đồng nghĩa đã có thể bán.</t>
  </si>
  <si>
    <t>Gợi ý bằng chứng nguồn: Kế hoạch: ____ | Mã nguồn: J-05</t>
  </si>
  <si>
    <t>TC-AIV1-104</t>
  </si>
  <si>
    <t>FUT-J06</t>
  </si>
  <si>
    <t>J06</t>
  </si>
  <si>
    <t>Xác minh: Chi phí và cache</t>
  </si>
  <si>
    <t>1. Ghi mã thiết bị, firmware, build ứng dụng, điện thoại/OS, mạng và thời điểm bắt đầu.
2. Thiết lập đúng trạng thái để kiểm tra: Chi phí và cache.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</si>
  <si>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Ghi số giây âm thanh, số lần gọi ASR/dịch/TTS, retry khi lỗi, tỷ lệ khớp kho 5.000 câu tần suất cao và âm thanh tạo sẵn để chuẩn bị dữ liệu cho mô hình chi phí trước V2.</t>
  </si>
  <si>
    <t>Gợi ý bằng chứng nguồn: Phương án chỉ số: ____ | Mã nguồn: J-06</t>
  </si>
  <si>
    <t>TC-AIV1-105</t>
  </si>
  <si>
    <t>CLOSE-K01</t>
  </si>
  <si>
    <t>K01</t>
  </si>
  <si>
    <t>Khép kín/Quyết định</t>
  </si>
  <si>
    <t>Xác minh: Tổng hợp P0</t>
  </si>
  <si>
    <t>1. Ghi mã thiết bị, firmware, build ứng dụng, điện thoại/OS, mạng và thời điểm bắt đầu.
2. Thiết lập đúng trạng thái để kiểm tra: Tổng hợp P0.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</si>
  <si>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Thống kê P0: Đạt ____ mục; Đạt có điều kiện ____ mục; Không đạt ____ mục; Chưa test ____ mục. Mọi mục “Không đạt/Chưa test” phải được liệt kê riêng.</t>
  </si>
  <si>
    <t>Gợi ý bằng chứng nguồn: Phụ lục danh sách: ____ | Mã nguồn: K-01</t>
  </si>
  <si>
    <t>TC-AIV1-106</t>
  </si>
  <si>
    <t>CLOSE-K02</t>
  </si>
  <si>
    <t>K02</t>
  </si>
  <si>
    <t>Xác minh: Tổng hợp P1</t>
  </si>
  <si>
    <t>1. Ghi mã thiết bị, firmware, build ứng dụng, điện thoại/OS, mạng và thời điểm bắt đầu.
2. Thiết lập đúng trạng thái để kiểm tra: Tổng hợp P1.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</si>
  <si>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Liệt kê các vấn đề P1 ảnh hưởng trải nghiệm/sản xuất hàng loạt, người phụ trách, ngày hoàn thành và ngày test lại.</t>
  </si>
  <si>
    <t>Gợi ý bằng chứng nguồn: Phiếu vấn đề: ____ | Mã nguồn: K-02</t>
  </si>
  <si>
    <t>TC-AIV1-107</t>
  </si>
  <si>
    <t>CLOSE-K03</t>
  </si>
  <si>
    <t>K03</t>
  </si>
  <si>
    <t>Xác minh: Trạng thái cuối của thiết bị mẫu</t>
  </si>
  <si>
    <t>1. Ghi mã thiết bị, firmware, build ứng dụng, điện thoại/OS, mạng và thời điểm bắt đầu.
2. Thiết lập đúng trạng thái để kiểm tra: Trạng thái cuối của thiết bị mẫu.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</si>
  <si>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 Có thể dùng làm căn cứ làm khuôn  □ Có thể dùng làm căn cứ cho lô nhỏ  □ Chỉ tiếp tục debug  □ Không khuyến nghị đặt hàng</t>
  </si>
  <si>
    <t>Gợi ý bằng chứng nguồn: Lý do: ____ | Mã nguồn: K-03</t>
  </si>
  <si>
    <t>TC-AIV1-108</t>
  </si>
  <si>
    <t>CLOSE-K04</t>
  </si>
  <si>
    <t>K04</t>
  </si>
  <si>
    <t>Xác minh: Hạng mục ODM cần xác nhận</t>
  </si>
  <si>
    <t>1. Ghi mã thiết bị, firmware, build ứng dụng, điện thoại/OS, mạng và thời điểm bắt đầu.
2. Thiết lập đúng trạng thái để kiểm tra: Hạng mục ODM cần xác nhận.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</si>
  <si>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Thông số cuối của thiết bị mẫu, số bo mạch, phiên bản chip/Bluetooth, phiên bản firmware, định nghĩa nút, hành vi HFP/BLE, cách triển khai sạc và lịch sử thay đổi.</t>
  </si>
  <si>
    <t>Gợi ý bằng chứng nguồn: Chữ ký ODM: ____ | Mã nguồn: K-04</t>
  </si>
  <si>
    <t>TC-AIV1-109</t>
  </si>
  <si>
    <t>CLOSE-K05</t>
  </si>
  <si>
    <t>K05</t>
  </si>
  <si>
    <t>Xác minh: Hạng mục đội APK cần xác nhận</t>
  </si>
  <si>
    <t>1. Ghi mã thiết bị, firmware, build ứng dụng, điện thoại/OS, mạng và thời điểm bắt đầu.
2. Thiết lập đúng trạng thái để kiểm tra: Hạng mục đội APK cần xác nhận.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</si>
  <si>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Phiên bản APK, phiên bản bộ từ điển ý định có kiểm soát, bảng trạng thái, phiên bản ngôn ngữ/nội dung, giới hạn đã biết, mẫu máy iOS/Android đã test và kết quả test lại.</t>
  </si>
  <si>
    <t>Gợi ý bằng chứng nguồn: Chữ ký đội ngũ: ____ | Mã nguồn: K-05</t>
  </si>
  <si>
    <t>TC-AIV1-110</t>
  </si>
  <si>
    <t>CLOSE-K06</t>
  </si>
  <si>
    <t>K06</t>
  </si>
  <si>
    <t>Xác minh: Sếp xác nhận cuối cùng</t>
  </si>
  <si>
    <t>1. Ghi mã thiết bị, firmware, build ứng dụng, điện thoại/OS, mạng và thời điểm bắt đầu.
2. Thiết lập đúng trạng thái để kiểm tra: Sếp xác nhận cuối cùng.
3. Thực hiện hành vi/kịch bản theo tiêu chí nguồn; dùng đối chứng hoặc biến thể dữ liệu khi tiêu chí yêu cầu.
4. Lặp trên các nền tảng/môi trường áp dụng và ghi số lần, thời gian, tỷ lệ hoặc quan sát thực tế.
5. Lưu video/log/ảnh/âm thanh; so sánh với kết quả mong đợi và cập nhật Result, Defect ID, Evidence.</t>
  </si>
  <si>
    <t>Xác nhận đã xem bằng chứng kiểm thử, đã biết các rủi ro còn lại và quyết định: làm khuôn / tạm thời chưa làm khuôn / tiếp tục xác minh.</t>
  </si>
  <si>
    <t>Gợi ý bằng chứng nguồn: Chữ ký/ngày: ____ | Mã nguồn: K-06</t>
  </si>
  <si>
    <t>TC-AIV1-111</t>
  </si>
  <si>
    <t>Đối chứng nguồn micro HFP trên Android</t>
  </si>
  <si>
    <t>Android + AIV1/H20</t>
  </si>
  <si>
    <t>BT-HFP-MIC; 3 tư thế: che micro điện thoại, đặt điện thoại xa, đặt thiết bị gần người nói.</t>
  </si>
  <si>
    <t>1. Ghép HFP+BLE và mở luồng ghi âm.
2. Che micro điện thoại, đặt điện thoại cách người nói &gt;=3 m.
3. Nói câu TR-CORE-01 vào micro thiết bị.
4. Lặp lại khi che micro thiết bị và nói gần điện thoại để đối chứng.
5. So sánh waveform/ASR, log audio route và video.</t>
  </si>
  <si>
    <t>Chỉ kịch bản nói gần micro thiết bị cho tín hiệu/ASR đúng; audio route xác nhận HFP input, không dùng micro điện thoại.</t>
  </si>
  <si>
    <t>Ghi video đồng bộ màn hình + thiết bị; lưu log ứng dụng/BLE và timestamp; mỗi lần chạy có mã evidence riêng.</t>
  </si>
  <si>
    <t>TC-AIV1-112</t>
  </si>
  <si>
    <t>Đối chứng nguồn loa HFP trên Android</t>
  </si>
  <si>
    <t>BT-HFP-SPK; câu TTS chuẩn; mức âm lượng thấp/trung bình/cao.</t>
  </si>
  <si>
    <t>1. Ghép HFP+BLE.
2. Kích hoạt phát câu tiếng Anh.
3. Che loa điện thoại và quan sát nguồn phát.
4. Thay đổi âm lượng theo thiết kế.
5. Ghi video và audio route log.</t>
  </si>
  <si>
    <t>Âm thanh chỉ phát từ loa thiết bị; không phát ngoài ý muốn từ điện thoại; điều khiển âm lượng đúng thiết kế.</t>
  </si>
  <si>
    <t>TC-AIV1-113</t>
  </si>
  <si>
    <t>Đối chứng HFP hai chiều trên iPhone/build iOS</t>
  </si>
  <si>
    <t>Integration/Compatibility</t>
  </si>
  <si>
    <t>iPhone thật + build iOS + AIV1/H20</t>
  </si>
  <si>
    <t>BT-HFP-MIC, BT-HFP-SPK; cùng câu và mức âm lượng như Android.</t>
  </si>
  <si>
    <t>1. Cài build iOS tương ứng và ghép thiết bị.
2. Thực hiện phép thử che/đặt xa micro điện thoại.
3. Phát TTS và đối chứng loa điện thoại/loa thiết bị.
4. Kiểm tra route trước và sau khi app xuống nền.
5. Lưu video/log.</t>
  </si>
  <si>
    <t>Input và output đều đi qua HFP của thiết bị trên iPhone; không đổi route im lặng hoặc sai nguồn.</t>
  </si>
  <si>
    <t>APK không cài được trên iPhone; ca này yêu cầu build iOS tương ứng. Ghi video đồng bộ màn hình + thiết bị; lưu log ứng dụng/BLE và timestamp; mỗi lần chạy có mã evidence riêng.</t>
  </si>
  <si>
    <t>TC-AIV1-114</t>
  </si>
  <si>
    <t>HFP ghi âm đồng thời nhận sự kiện MAIN qua BLE</t>
  </si>
  <si>
    <t>Integration/Reliability</t>
  </si>
  <si>
    <t>30 lần nhấn ngắn MAIN trong khi ghi âm; pin và APP State đọc trước/sau.</t>
  </si>
  <si>
    <t>1. Bắt đầu ghi âm qua HFP.
2. Nhấn ngắn MAIN 30 lần, cách nhau &gt;=2 giây.
3. Đếm sự kiện tại firmware, BLE log và app.
4. Đọc pin/APP State.
5. Kiểm tra audio không gián đoạn ngoài thiết kế.</t>
  </si>
  <si>
    <t>BLE không rớt; mỗi lần nhấn tạo đúng 1 sự kiện end-to-end; không mất/lặp; audio route ổn định.</t>
  </si>
  <si>
    <t>TC-AIV1-115</t>
  </si>
  <si>
    <t>HFP phát TTS đồng thời duy trì BLE</t>
  </si>
  <si>
    <t>20 câu TTS liên tiếp; thao tác MAIN và đọc pin xen kẽ.</t>
  </si>
  <si>
    <t>1. Bắt đầu phát chuỗi 20 câu TTS qua thiết bị.
2. Xen kẽ đọc pin và APP State.
3. Nhấn MAIN ở các trạng thái phát/chuyển câu.
4. Theo dõi BLE disconnect/reconnect và audio underrun.
5. Lưu log.</t>
  </si>
  <si>
    <t>BLE duy trì; trạng thái và pin đọc được; sự kiện MAIN chính xác; không mất tiếng/rè/crash.</t>
  </si>
  <si>
    <t>TC-AIV1-116</t>
  </si>
  <si>
    <t>Khôi phục HFP và BLE sau gián đoạn</t>
  </si>
  <si>
    <t>Recovery/Reliability</t>
  </si>
  <si>
    <t>10 chu kỳ tắt/bật Bluetooth và 5 chu kỳ ra/vào phạm vi.</t>
  </si>
  <si>
    <t>1. Xác nhận HFP+BLE đang hoạt động.
2. Tắt Bluetooth 10 giây rồi bật lại; lặp 10 lần.
3. Thực hiện 5 chu kỳ ra/vào phạm vi.
4. Sau mỗi lần, ghi riêng thời gian phục hồi HFP/BLE.
5. Chạy 1 câu ghi âm và 1 câu phát để xác nhận end-to-end.</t>
  </si>
  <si>
    <t>Hai kênh phục hồi theo thiết kế, không cần xóa dữ liệu/ghép lại ngoài dự kiến; chức năng cốt lõi dùng được sau mỗi chu kỳ.</t>
  </si>
  <si>
    <t>TC-AIV1-117</t>
  </si>
  <si>
    <t>Biên thời gian nhấn ngắn/nhấn giữ MAIN</t>
  </si>
  <si>
    <t>Boundary/State transition</t>
  </si>
  <si>
    <t>Ngưỡng nhấn giữ theo Cấu hình; thử ngưỡng -0,2 s / đúng ngưỡng / +0,2 s, mỗi điểm 10 lần.</t>
  </si>
  <si>
    <t>1. Điền ngưỡng nhấn giữ đã phê duyệt.
2. Nhấn tại ba điểm biên, mỗi điểm 10 lần.
3. Lặp khi chờ, phát TTS, ghi âm và dịch liên tục.
4. Đếm sự kiện short/long và chuyển trạng thái.
5. Lưu log timestamp.</t>
  </si>
  <si>
    <t>Phân loại nhất quán theo đặc tả; một thao tác chỉ sinh một sự kiện; long press dừng an toàn, không nhảy sai màn hình.</t>
  </si>
  <si>
    <t>TC-AIV1-118</t>
  </si>
  <si>
    <t>Cổng câu lệnh có kiểm soát theo ba vùng giọng</t>
  </si>
  <si>
    <t>CMD-LEARN-*, CMD-NEW-*, CMD-TRANS-*; tối thiểu 1 trẻ thật/vùng Bắc-Trung-Nam có consent.</t>
  </si>
  <si>
    <t>1. Chạy cùng bộ câu lệnh cho từng vùng giọng.
2. Mỗi câu lặp 3 lần ở âm lượng bình thường.
3. Ghi intent nhận được, module mở và fallback.
4. Với câu không hiểu, xác nhận chỉ hướng dẫn lại.
5. Tính tỷ lệ đúng theo vùng và theo intent.</t>
  </si>
  <si>
    <t>Các intent hợp lệ vào đúng module; câu không hiểu không tự nhảy chức năng; kết quả tách riêng theo vùng, không gộp che lỗi.</t>
  </si>
  <si>
    <t>TC-AIV1-119</t>
  </si>
  <si>
    <t>Dịch liên tục không nhận nhầm âm thanh môi trường</t>
  </si>
  <si>
    <t>Negative/Voice</t>
  </si>
  <si>
    <t>ENV-TV, ENV-ADULT, ENV-CLASS; 3 khoảng im lặng 10/20/30 giây.</t>
  </si>
  <si>
    <t>1. Bật dịch liên tục.
2. Trẻ nói 1 câu hợp lệ rồi im lặng.
3. Phát từng nguồn ồn trong 10/20/30 giây.
4. Theo dõi VAD/ASR/API call/TTS.
5. Dừng chế độ và xác nhận không còn xử lý.</t>
  </si>
  <si>
    <t>Không biến tiếng môi trường/người khác thành câu của trẻ; không phát TTS sai; dừng được và ngừng gửi dữ liệu.</t>
  </si>
  <si>
    <t>TC-AIV1-120</t>
  </si>
  <si>
    <t>Giọng trẻ trong nhiễu và giọng người lớn chen ngang</t>
  </si>
  <si>
    <t>Voice/Robustness</t>
  </si>
  <si>
    <t>VOICE-B/N/T; ENV-HOME/TV/CLASS; câu cốt lõi TR-CORE-*.</t>
  </si>
  <si>
    <t>1. Đặt thiết bị ở vị trí sử dụng thật.
2. Trẻ nói câu cốt lõi trong từng môi trường.
3. Cho người lớn nói chen và TV phát lời thoại.
4. Ghi ASR, bản dịch, độ trễ và nguồn giọng bị nhận.
5. Phân loại từng lỗi theo taxonomy.</t>
  </si>
  <si>
    <t>Câu trẻ vẫn sử dụng được ở mức cốt lõi; không thường xuyên mất từ/nhảy module; không nhận giọng người khác; lỗi được phân loại và đưa vào hồi quy.</t>
  </si>
  <si>
    <t>TC-AIV1-121</t>
  </si>
  <si>
    <t>Chuỗi cốt lõi end-to-end trên Android</t>
  </si>
  <si>
    <t>End-to-end/Compatibility</t>
  </si>
  <si>
    <t>Android thật + AIV1/H20</t>
  </si>
  <si>
    <t>Kết nối -&gt; MAIN -&gt; ghi âm -&gt; dịch -&gt; TTS -&gt; bài học -&gt; mất/kết nối lại.</t>
  </si>
  <si>
    <t>1. Cài mới ứng dụng và cấp quyền.
2. Ghép HFP+BLE.
3. Chạy MAIN, ghi âm, dịch, phát TTS và một bài học.
4. Gây mất kết nối rồi phục hồi.
5. Ghi model/OS/build và evidence từng chặng.</t>
  </si>
  <si>
    <t>Toàn bộ chuỗi chạy được trên thiết bị thật; không có chặng cốt lõi bị bỏ qua; kết nối lại thành công và phiên bản được truy vết.</t>
  </si>
  <si>
    <t>TC-AIV1-122</t>
  </si>
  <si>
    <t>Chuỗi cốt lõi end-to-end trên iPhone</t>
  </si>
  <si>
    <t>iPhone thật/build iOS + AIV1/H20</t>
  </si>
  <si>
    <t>TC-AIV1-123</t>
  </si>
  <si>
    <t>Chu kỳ sạc đầy và kiểm tra an toàn</t>
  </si>
  <si>
    <t>HW-CHARGE; pin thấp -&gt; đầy; dây/củ sạc chuẩn.</t>
  </si>
  <si>
    <t>1. Ghi % pin, nhiệt độ bề mặt và bộ sạc.
2. Sạc từ mức pin thấp đến đầy.
3. Ghi thời gian, % pin và nhiệt định kỳ.
4. Kiểm tra mùi, phồng, reset, lỏng cổng.
5. Sau đầy pin chạy chức năng cốt lõi 15 phút.</t>
  </si>
  <si>
    <t>Sạc hoàn tất bình thường; không nóng/mùi/phồng/reset bất thường; thiết bị dùng được sau khi đầy; dữ liệu sạc đầy đủ.</t>
  </si>
  <si>
    <t>TC-AIV1-124</t>
  </si>
  <si>
    <t>Soak pin theo hỗn hợp sử dụng điển hình</t>
  </si>
  <si>
    <t>Battery/Reliability</t>
  </si>
  <si>
    <t>Chu kỳ 5 phút chờ + 5 phút phát + 5 phút ghi/dịch; lặp đến ngưỡng kết thúc đã duyệt.</t>
  </si>
  <si>
    <t>1. Sạc đầy và ghi % pin ban đầu.
2. Chạy hỗn hợp sử dụng theo chu kỳ.
3. Ghi % pin, nhiệt, disconnect và reset mỗi 15 phút.
4. Kết thúc theo tiêu chí Cấu hình.
5. Tính thời lượng thực tế và lưu log.</t>
  </si>
  <si>
    <t>Có số liệu runtime thực tế; không tắt nguồn/nóng bất thường/rớt kết nối thường xuyên; so sánh được với ngưỡng đã phê duyệt.</t>
  </si>
  <si>
    <t>TC-AIV1-125</t>
  </si>
  <si>
    <t>Cài mới sạch và mở lại trên Android</t>
  </si>
  <si>
    <t>Install/Compatibility</t>
  </si>
  <si>
    <t>Android</t>
  </si>
  <si>
    <t>Xóa ứng dụng và dữ liệu; cài build đã khóa; mạng tốt và mạng yếu.</t>
  </si>
  <si>
    <t>1. Gỡ bản cũ/xóa dữ liệu.
2. Cài build mới và mở lần đầu.
3. Cấp quyền theo luồng.
4. Đóng cưỡng bức và mở lại 3 lần.
5. Ghi thời gian tới màn hình sẵn sàng và mọi lỗi UI.</t>
  </si>
  <si>
    <t>Không treo, trắng, crash hay tải vô hạn; quyền được giải thích; mở lại ổn định và trạng thái hợp lệ.</t>
  </si>
  <si>
    <t>TC-AIV1-126</t>
  </si>
  <si>
    <t>Cài mới sạch và mở lại trên iPhone/build iOS</t>
  </si>
  <si>
    <t>iOS</t>
  </si>
  <si>
    <t>TC-AIV1-127</t>
  </si>
  <si>
    <t>Từ chối quyền micro rồi khôi phục</t>
  </si>
  <si>
    <t>Negative/Permission</t>
  </si>
  <si>
    <t>Từ chối một lần; từ chối vĩnh viễn nếu OS hỗ trợ; bật lại trong Settings.</t>
  </si>
  <si>
    <t>1. Cài mới và từ chối quyền micro.
2. Mở chức năng cần micro.
3. Kiểm tra lời giải thích và đường dẫn Settings.
4. Bật lại quyền.
5. Quay lại app và chạy ghi âm không cài lại.</t>
  </si>
  <si>
    <t>App không crash/treo; thông báo dễ hiểu; không báo thành công giả; sau khi bật lại quyền, ghi âm dùng được mà không mất cấu hình.</t>
  </si>
  <si>
    <t>TC-AIV1-128</t>
  </si>
  <si>
    <t>Từ chối Bluetooth/thiết bị lân cận rồi khôi phục</t>
  </si>
  <si>
    <t>Android/iOS theo cơ chế quyền Bluetooth của OS.</t>
  </si>
  <si>
    <t>1. Từ chối quyền Bluetooth/nearby.
2. Thử tìm và kết nối thiết bị.
3. Kiểm tra thông báo và hướng dẫn.
4. Bật lại quyền trong Settings.
5. Kết nối lại không cài mới.</t>
  </si>
  <si>
    <t>Không hiển thị lỗi kỹ thuật khó hiểu; không báo đã kết nối; có thể khôi phục và ghép thiết bị sau khi cấp quyền.</t>
  </si>
  <si>
    <t>TC-AIV1-129</t>
  </si>
  <si>
    <t>Hủy ghép và ghép lại khi có hai thiết bị cùng khu vực</t>
  </si>
  <si>
    <t>Integration/Negative</t>
  </si>
  <si>
    <t>2 mẫu thiết bị; tên quảng bá đã cấu hình; Android và iPhone.</t>
  </si>
  <si>
    <t>1. Bật hai thiết bị cạnh nhau.
2. Tìm kiếm và xác nhận tên/ID phân biệt.
3. Ghép mẫu A, hủy ghép, ghép mẫu B.
4. Ghép lại mẫu A.
5. Xác nhận không dùng nhầm profile/phiên bản.</t>
  </si>
  <si>
    <t>Tên/ID đủ phân biệt; ghép-hủy-ghép lại thành công; app không trộn thiết bị hoặc dữ liệu phiên trước.</t>
  </si>
  <si>
    <t>TC-AIV1-130</t>
  </si>
  <si>
    <t>Độ tin cậy nhấn ngắn MAIN 30 lần</t>
  </si>
  <si>
    <t>Reliability/State transition</t>
  </si>
  <si>
    <t>30 lần nhấn ngắn ở trạng thái chờ, phát, bài học và dịch.</t>
  </si>
  <si>
    <t>1. Mở log firmware/BLE/app.
2. Ở mỗi trạng thái, nhấn ngắn theo kế hoạch.
3. Đếm physical action, BLE event và app action.
4. So sánh timestamp.
5. Ghi mọi mất/lặp/sai trạng thái.</t>
  </si>
  <si>
    <t>Mỗi thao tác sinh đúng một sự kiện và một hành động hợp lệ; không mất, lặp hoặc xử lý theo state cũ.</t>
  </si>
  <si>
    <t>TC-AIV1-131</t>
  </si>
  <si>
    <t>Độ tin cậy nhấn giữ MAIN 30 lần</t>
  </si>
  <si>
    <t>Reliability/Boundary</t>
  </si>
  <si>
    <t>30 long press, xen kẽ short press; các trạng thái chờ/phát/ghi/dịch liên tục.</t>
  </si>
  <si>
    <t>1. Điền ngưỡng long press.
2. Thực hiện long press và short press xen kẽ.
3. Theo dõi event và hành động dừng.
4. Giữ lâu hơn ngưỡng 3 giây để kiểm tra không lặp.
5. Tổng hợp theo trạng thái.</t>
  </si>
  <si>
    <t>Long press chỉ kích hoạt một lần; short không bị hiểu nhầm; trạng thái dừng an toàn và không lặp event khi tiếp tục giữ.</t>
  </si>
  <si>
    <t>TC-AIV1-132</t>
  </si>
  <si>
    <t>Kết nối lại sau Tắt/bật Bluetooth</t>
  </si>
  <si>
    <t>Tắt Bluetooth 10 giây rồi bật; lặp 10 chu kỳ.</t>
  </si>
  <si>
    <t>1. Xác nhận HFP+BLE và chạy 1 giao dịch chuẩn.
2. Tắt Bluetooth 10 giây rồi bật; lặp 10 chu kỳ.
3. Ghi riêng thời gian phục hồi HFP và BLE.
4. Chạy MAIN, ghi âm và phát TTS.
5. Lưu log các lần thất bại.</t>
  </si>
  <si>
    <t>Kết nối phục hồi theo thiết kế; UI không báo sai; chức năng cốt lõi hoạt động lại; có số liệu thời gian và tỷ lệ thành công.</t>
  </si>
  <si>
    <t>TC-AIV1-133</t>
  </si>
  <si>
    <t>Kết nối lại sau Ra ngoài/vào lại phạm vi</t>
  </si>
  <si>
    <t>Di chuyển tới khi cả HFP/BLE mất rồi quay lại; lặp 5 chu kỳ.</t>
  </si>
  <si>
    <t>1. Xác nhận HFP+BLE và chạy 1 giao dịch chuẩn.
2. Di chuyển tới khi cả HFP/BLE mất rồi quay lại; lặp 5 chu kỳ.
3. Ghi riêng thời gian phục hồi HFP và BLE.
4. Chạy MAIN, ghi âm và phát TTS.
5. Lưu log các lần thất bại.</t>
  </si>
  <si>
    <t>TC-AIV1-134</t>
  </si>
  <si>
    <t>Kết nối lại sau Đưa app xuống nền rồi trở lại</t>
  </si>
  <si>
    <t>Đưa app nền 60 giây, khóa/mở màn hình rồi foreground; lặp 5 chu kỳ.</t>
  </si>
  <si>
    <t>1. Xác nhận HFP+BLE và chạy 1 giao dịch chuẩn.
2. Đưa app nền 60 giây, khóa/mở màn hình rồi foreground; lặp 5 chu kỳ.
3. Ghi riêng thời gian phục hồi HFP và BLE.
4. Chạy MAIN, ghi âm và phát TTS.
5. Lưu log các lần thất bại.</t>
  </si>
  <si>
    <t>TC-AIV1-135</t>
  </si>
  <si>
    <t>Sạc với dây đi kèm và dây chuẩn tương thích</t>
  </si>
  <si>
    <t>Dây đi kèm + 2 dây chuẩn; củ sạc theo thông số ODM.</t>
  </si>
  <si>
    <t>1. Kiểm tra ngoại quan cổng/dây.
2. Cắm/rút mỗi dây 10 lần.
3. Sạc 15 phút với từng tổ hợp.
4. Quan sát lỏng, mất sạc và nhiệt.
5. Ghi dòng/áp nếu có dụng cụ.</t>
  </si>
  <si>
    <t>Cắm đúng hướng, không lỏng; sạc ổn định với dây hợp lệ; không nóng bất thường hoặc ngắt chập chờn.</t>
  </si>
  <si>
    <t>TC-AIV1-136</t>
  </si>
  <si>
    <t>Soak nhiệt khi sạc, phát và dịch liên tục</t>
  </si>
  <si>
    <t>Ba pha: sạc, phát TTS, dịch liên tục; nhiệt độ môi trường được ghi nhận.</t>
  </si>
  <si>
    <t>1. Ghi nhiệt độ ban đầu.
2. Chạy từng pha theo thời lượng đã duyệt.
3. Đo/quan sát nhiệt định kỳ.
4. Theo dõi mùi, phồng, reset, mất kết nối.
5. Dừng ngay nếu có dấu hiệu an toàn.</t>
  </si>
  <si>
    <t>Không có mùi/phồng/reset/nóng vượt ngưỡng đã phê duyệt; dữ liệu đủ để kết luận P0.</t>
  </si>
  <si>
    <t>TC-AIV1-137</t>
  </si>
  <si>
    <t>Chất lượng loa trong ba môi trường</t>
  </si>
  <si>
    <t>Audio/Usability</t>
  </si>
  <si>
    <t>ENV-QUIET, ENV-HOME, ENV-CLASS; mức âm lượng thấp/trung bình/cao.</t>
  </si>
  <si>
    <t>1. Phát cùng bộ câu tiếng Anh ở ba mức âm lượng.
2. Lặp trong từng môi trường.
3. Người lớn và trẻ đánh giá nghe rõ/chói/rè/nổ.
4. Ghi mức âm lượng và khoảng cách.
5. Lưu mẫu âm thanh.</t>
  </si>
  <si>
    <t>Đủ nghe trong môi trường mục tiêu nhưng không chói/rè/nổ; kết quả tách riêng theo môi trường và mức âm lượng.</t>
  </si>
  <si>
    <t>TC-AIV1-138</t>
  </si>
  <si>
    <t>Timeout không có tiếng nói và thoát an toàn</t>
  </si>
  <si>
    <t>Negative/State transition</t>
  </si>
  <si>
    <t>NEG-NO-SPEECH; không phát âm trong hai cửa sổ nghe liên tiếp.</t>
  </si>
  <si>
    <t>1. Ở trạng thái chờ, nhấn MAIN.
2. Im lặng khoảng 6 giây.
3. Xác nhận chỉ nhắc lại một lần.
4. Tiếp tục im lặng.
5. Xác nhận lời nhắc kết thúc và app thoát trạng thái nghe.</t>
  </si>
  <si>
    <t>Nhắc lại đúng một lần; sau lần hai thông báo bấm MAIN khi sẵn sàng; không kẹt mic, không quay tải, không tự vào module.</t>
  </si>
  <si>
    <t>TC-AIV1-139</t>
  </si>
  <si>
    <t>Fallback với câu linh tinh/độ tin cậy thấp</t>
  </si>
  <si>
    <t>NEG-GIBBERISH, NEG-LOW-CONF, tiếng TV nền.</t>
  </si>
  <si>
    <t>1. Nhấn MAIN và phát từng dữ liệu âm thanh.
2. Ghi ASR confidence/intent nếu có.
3. Quan sát module/state sau phản hồi.
4. Thử lại bằng câu lệnh hợp lệ.
5. Lặp trên Android/iOS.</t>
  </si>
  <si>
    <t>Không nhảy sai module; đưa ví dụ câu lệnh có kiểm soát; cho thử lại; câu hợp lệ tiếp theo được xử lý bình thường.</t>
  </si>
  <si>
    <t>TC-AIV1-140</t>
  </si>
  <si>
    <t>Ma trận biến thể lệnh vào học theo chủ đề</t>
  </si>
  <si>
    <t>Voice/Functional</t>
  </si>
  <si>
    <t>Học bài | Học theo chủ đề | Học khóa học | Bắt đầu bài học</t>
  </si>
  <si>
    <t>1. Đưa app về trạng thái chờ trước mỗi lần.
2. Nhấn MAIN và nói từng biến thể, mỗi câu 3 lần.
3. Ghi ASR text, intent và module mở.
4. Lặp với giọng Bắc/Trung/Nam nếu có mẫu.
5. Tổng hợp nhận đúng/bỏ sót/nhầm module.</t>
  </si>
  <si>
    <t>Mọi biến thể hợp lệ được quy về đúng intent/module; không coi câu điều khiển là nội dung dịch; lỗi có log và audio truy vết.</t>
  </si>
  <si>
    <t>TC-AIV1-141</t>
  </si>
  <si>
    <t>Ma trận biến thể lệnh vào học từ mới</t>
  </si>
  <si>
    <t>Học từ mới | Học từ | Luyện từ</t>
  </si>
  <si>
    <t>TC-AIV1-142</t>
  </si>
  <si>
    <t>Ma trận biến thể lệnh vào dịch</t>
  </si>
  <si>
    <t>Dịch tiếng Anh | Con muốn dịch | Dịch một câu | Dịch liên tục</t>
  </si>
  <si>
    <t>TC-AIV1-143</t>
  </si>
  <si>
    <t>Long press dừng an toàn ở mọi trạng thái cốt lõi</t>
  </si>
  <si>
    <t>State transition/Safety</t>
  </si>
  <si>
    <t>Trạng thái: phát TTS, ghi luyện nói, chờ lệnh, dịch liên tục, đang chuyển câu.</t>
  </si>
  <si>
    <t>1. Đưa hệ thống vào từng trạng thái.
2. Nhấn giữ MAIN theo ngưỡng.
3. Đo thời gian tới khi dừng và nghe lời xác nhận.
4. Mở lại bài/luồng.
5. Xác nhận tiến độ và state không hỏng.</t>
  </si>
  <si>
    <t>Dừng/tạm dừng ngay theo thiết kế, phát 'Đã dừng', không mất tiến độ, không nhảy màn hình hoặc để mic tiếp tục thu.</t>
  </si>
  <si>
    <t>TC-AIV1-144</t>
  </si>
  <si>
    <t>Bảo toàn xưng hô, chủ ngữ, phủ định và nhu cầu</t>
  </si>
  <si>
    <t>Functional/Localization</t>
  </si>
  <si>
    <t>TR-CORE-01..06, gồm 'Mẹ ơi, con muốn mua cái này', câu phủ định và câu có chủ ngữ.</t>
  </si>
  <si>
    <t>1. Chạy từng câu ở chế độ dịch từng câu.
2. Lưu audio gốc và bản chép tay.
3. Ghi ASR tiếng Việt, câu tiếng Anh và TTS.
4. Đánh dấu mất xưng hô/chủ ngữ/phủ định/nhu cầu.
5. Phân loại lỗi trước khi tạo defect.</t>
  </si>
  <si>
    <t>Các thành phần nghĩa quan trọng không thường xuyên bị mất; mọi sai lệch có đủ audio, transcript, ASR, translation, TTS và timestamp.</t>
  </si>
  <si>
    <t>TC-AIV1-145</t>
  </si>
  <si>
    <t>Dừng dịch liên tục bằng câu lệnh</t>
  </si>
  <si>
    <t>State transition/Privacy</t>
  </si>
  <si>
    <t>Nói 'Dừng lại'; sau đó phát tiếng TV và lời người lớn trong 30 giây.</t>
  </si>
  <si>
    <t>1. Bật dịch liên tục và dịch thành công 2 lượt.
2. Nói 'Dừng lại'.
3. Xác nhận trạng thái đã dừng.
4. Phát tiếng môi trường 30 giây.
5. Kiểm tra VAD/ASR/API/log.</t>
  </si>
  <si>
    <t>Luồng dừng được; không thu/gửi/xử lý âm thanh môi trường sau dừng; có phản hồi rõ và có thể bắt đầu phiên mới.</t>
  </si>
  <si>
    <t>TC-AIV1-146</t>
  </si>
  <si>
    <t>Dừng dịch liên tục bằng long press MAIN</t>
  </si>
  <si>
    <t>Nhấn giữ MAIN; sau đó phát tiếng TV và lời người lớn trong 30 giây.</t>
  </si>
  <si>
    <t>1. Bật dịch liên tục và dịch thành công 2 lượt.
2. Nhấn giữ MAIN.
3. Xác nhận trạng thái đã dừng.
4. Phát tiếng môi trường 30 giây.
5. Kiểm tra VAD/ASR/API/log.</t>
  </si>
  <si>
    <t>TC-AIV1-147</t>
  </si>
  <si>
    <t>VAD với trẻ nói chậm và dừng giữa câu</t>
  </si>
  <si>
    <t>Boundary/Performance</t>
  </si>
  <si>
    <t>TR-SLOW-01..03; khoảng dừng 0,5/1/1,5/2 giây giữa cụm từ.</t>
  </si>
  <si>
    <t>1. Chạy từng câu với bốn mức khoảng dừng.
2. Lưu audio và timestamp VAD start/end.
3. Ghi số lần cắt câu hoặc chờ quá lâu.
4. So sánh ASR với transcript chuẩn.
5. Ghi ngưỡng hoạt động thực tế.</t>
  </si>
  <si>
    <t>Không cắt quá sớm khoảng dừng tự nhiên và không chờ quá lâu; có số liệu ngưỡng để PO/QA phê duyệt.</t>
  </si>
  <si>
    <t>TC-AIV1-148</t>
  </si>
  <si>
    <t>Lỗi mạng/API và thử lại có kiểm soát</t>
  </si>
  <si>
    <t>Negative/Recovery</t>
  </si>
  <si>
    <t>NET-WEAK, NET-OFFLINE, giả lập timeout/5xx nếu môi trường cho phép.</t>
  </si>
  <si>
    <t>1. Bắt đầu dịch rồi gây từng loại lỗi.
2. Đo thời gian tới phản hồi lỗi.
3. Xác nhận không báo thành công và không quay vô hạn.
4. Khôi phục mạng/API và bấm thử lại.
5. Kiểm tra state và dữ liệu không bị trùng.</t>
  </si>
  <si>
    <t>Thông báo ngắn, trẻ hiểu được; có thể thử lại; khôi phục thành công; không mất state hoặc tạo bản ghi lịch sử sai/trùng.</t>
  </si>
  <si>
    <t>TC-AIV1-149</t>
  </si>
  <si>
    <t>Ranh giới nhóm tuổi và nội dung bài học</t>
  </si>
  <si>
    <t>Boundary/Content</t>
  </si>
  <si>
    <t>AGE-LOW/BOUNDARY/HIGH; cùng chủ đề để so sánh độ khó.</t>
  </si>
  <si>
    <t>1. Tạo hồ sơ ở các tuổi biên.
2. Mở cùng chủ đề.
3. Ghi câu, độ dài, từ vựng và hướng dẫn.
4. Đổi tuổi bằng tài khoản phụ huynh.
5. Xác nhận nội dung cập nhật đúng và trẻ không cần chọn trên điện thoại.</t>
  </si>
  <si>
    <t>Chủ đề/câu/độ khó phù hợp nhóm tuổi; chuyển tuổi không giữ nội dung sai; trẻ vào bài từ thiết bị sau thiết lập.</t>
  </si>
  <si>
    <t>TC-AIV1-150</t>
  </si>
  <si>
    <t>Phụ huynh thêm nội dung và trẻ không có quyền quản lý</t>
  </si>
  <si>
    <t>Authorization/Functional</t>
  </si>
  <si>
    <t>CONTENT-WORD, CONTENT-PHRASE, CONTENT-SENTENCE; tài khoản phụ huynh và luồng trẻ.</t>
  </si>
  <si>
    <t>1. Phụ huynh thêm ba loại nội dung.
2. Xác nhận/duyệt nếu có.
3. Từ thiết bị trẻ, mở học từ mới.
4. Thử thao tác thêm/sửa/xóa từ luồng trẻ.
5. Kiểm tra lịch sử và đồng bộ.</t>
  </si>
  <si>
    <t>Chỉ phụ huynh quản lý nội dung; trẻ học được nội dung đã duyệt mà không cần cầm điện thoại; không có đường tắt vượt quyền.</t>
  </si>
  <si>
    <t>TC-AIV1-151</t>
  </si>
  <si>
    <t>Từ đơn không khớp kho câu được duyệt</t>
  </si>
  <si>
    <t>Negative/Content</t>
  </si>
  <si>
    <t>CONTENT-UNKNOWN-01..03; từ hiếm/đa nghĩa nhưng không chứa nội dung cấm.</t>
  </si>
  <si>
    <t>1. Phụ huynh thêm từng từ đơn.
2. Kiểm tra tra cứu kho 5.000 câu.
3. Với trường hợp không khớp, quan sát phản hồi.
4. Kiểm tra có tự tạo câu hay không.
5. Xác nhận chỉ đưa vào học sau phê duyệt.</t>
  </si>
  <si>
    <t>Ưu tiên câu đã duyệt; nếu không có thì báo chờ xác nhận; không tự tạo nội dung không phù hợp tuổi.</t>
  </si>
  <si>
    <t>TC-AIV1-152</t>
  </si>
  <si>
    <t>Bộ dữ liệu nội dung không phù hợp và phản hồi an toàn</t>
  </si>
  <si>
    <t>Safety/Content</t>
  </si>
  <si>
    <t>SAFE-PROFANITY, SAFE-SEXUAL, SAFE-VIOLENCE, SAFE-INSULT, đầu vào lách ký tự.</t>
  </si>
  <si>
    <t>1. Nhập từng nhóm dữ liệu qua các điểm cho phép phụ huynh thêm nội dung.
2. Thử biến thể viết sai/lách ký tự.
3. Quan sát nội dung lưu, câu sinh và TTS.
4. Kiểm tra thông báo.
5. Xác nhận không xuất hiện trong bài/lịch sử trẻ.</t>
  </si>
  <si>
    <t>Nội dung cấm không được đưa tới trẻ hoặc phát TTS; phản hồi an toàn, phù hợp tuổi; không rò nội dung qua lịch sử/cache.</t>
  </si>
  <si>
    <t>TC-AIV1-153</t>
  </si>
  <si>
    <t>So sánh cùng intent theo Bắc/Trung/Nam</t>
  </si>
  <si>
    <t>Cùng bộ 20 intent cốt lõi, tối thiểu 1 trẻ/vùng có consent; ghi giới tính/tuổi ẩn danh.</t>
  </si>
  <si>
    <t>1. Thu/chạy cùng bộ intent cho từng vùng.
2. Lặp mỗi intent 3 lần.
3. Ghi ASR, intent, module và độ trễ.
4. Tính kết quả riêng từng vùng.
5. Lưu audio ẩn danh và defect theo vùng.</t>
  </si>
  <si>
    <t>Kết quả có thể so sánh theo vùng; lỗi nêu rõ vùng/câu/điều kiện; không gắn nhãn chung chung hoặc che sai lệch vùng.</t>
  </si>
  <si>
    <t>TC-AIV1-154</t>
  </si>
  <si>
    <t>Không nhận giọng TV/người lớn thành lệnh của trẻ</t>
  </si>
  <si>
    <t>ENV-TV, ENV-ADULT, ENV-CLASS; trẻ im lặng và trẻ nói xen kẽ.</t>
  </si>
  <si>
    <t>1. Bật trạng thái nghe/dịch liên tục.
2. Chỉ phát TV/người lớn, trẻ im lặng.
3. Sau đó cho trẻ nói xen kẽ.
4. Theo dõi speaker/source, VAD, ASR, intent và API.
5. Ghi mọi false activation.</t>
  </si>
  <si>
    <t>Không xử lý tiếng nền/người lớn như lệnh/nội dung của trẻ; khi trẻ nói, câu trẻ vẫn được xử lý đúng.</t>
  </si>
  <si>
    <t>TC-AIV1-155</t>
  </si>
  <si>
    <t>Từ chối/thu hồi consent dữ liệu giọng trẻ</t>
  </si>
  <si>
    <t>Privacy/Compliance</t>
  </si>
  <si>
    <t>Hồ sơ không consent; hồ sơ đã thu hồi consent; đường dẫn lưu trữ test.</t>
  </si>
  <si>
    <t>1. Chuẩn bị hai trạng thái consent.
2. Thử bắt đầu phiên thu/lưu bằng chứng.
3. Kiểm tra mã hóa ID và quyền truy cập.
4. Thu hồi consent của một mẫu.
5. Xác minh dữ liệu được xử lý theo chính sách đã duyệt.</t>
  </si>
  <si>
    <t>Không thu/dùng dữ liệu ngoài consent; dữ liệu ẩn danh và kiểm soát truy cập; việc thu hồi được ghi nhận và xử lý đúng chính sách.</t>
  </si>
  <si>
    <t>TC-AIV1-156</t>
  </si>
  <si>
    <t>Ứng dụng xuống nền/trở lại</t>
  </si>
  <si>
    <t>Interruption/Compatibility</t>
  </si>
  <si>
    <t>Đưa app xuống nền 60 giây rồi mở lại; chạy khi ghi âm, phát TTS và dịch liên tục.</t>
  </si>
  <si>
    <t>1. Bắt đầu từng trạng thái cốt lõi.
2. Đưa app xuống nền 60 giây rồi mở lại.
3. Quan sát mic, audio route, BLE/HFP và UI state.
4. Tiếp tục hoặc khởi động lại theo thiết kế.
5. Lưu log trước/trong/sau gián đoạn.</t>
  </si>
  <si>
    <t>Không lỗi im lặng/crash; quyền mic và audio route có hành vi dự đoán được; trạng thái Bluetooth và phục hồi đúng thiết kế.</t>
  </si>
  <si>
    <t>TC-AIV1-157</t>
  </si>
  <si>
    <t>Khóa/mở màn hình</t>
  </si>
  <si>
    <t>Khóa màn hình 30 giây rồi mở; chạy khi ghi âm, phát TTS và dịch liên tục.</t>
  </si>
  <si>
    <t>1. Bắt đầu từng trạng thái cốt lõi.
2. Khóa màn hình 30 giây rồi mở.
3. Quan sát mic, audio route, BLE/HFP và UI state.
4. Tiếp tục hoặc khởi động lại theo thiết kế.
5. Lưu log trước/trong/sau gián đoạn.</t>
  </si>
  <si>
    <t>TC-AIV1-158</t>
  </si>
  <si>
    <t>Cuộc gọi đến trong khi ghi/phát</t>
  </si>
  <si>
    <t>Nhận một cuộc gọi đến, kết thúc rồi trở lại app; chạy khi ghi âm, phát TTS và dịch liên tục.</t>
  </si>
  <si>
    <t>1. Bắt đầu từng trạng thái cốt lõi.
2. Nhận một cuộc gọi đến, kết thúc rồi trở lại app.
3. Quan sát mic, audio route, BLE/HFP và UI state.
4. Tiếp tục hoặc khởi động lại theo thiết kế.
5. Lưu log trước/trong/sau gián đoạn.</t>
  </si>
  <si>
    <t>TC-AIV1-159</t>
  </si>
  <si>
    <t>Mạng yếu</t>
  </si>
  <si>
    <t>Network/Recovery</t>
  </si>
  <si>
    <t>NET-WEAK; chạy trang chủ, ASR/dịch và TTS.</t>
  </si>
  <si>
    <t>1. Bắt đầu từ mạng tốt và xác nhận baseline.
2. Áp dụng profile mạng.
3. Chạy trang chủ, ghi/dịch và phát.
4. Khôi phục mạng nếu áp dụng.
5. Ghi thông báo, retry, state và thời gian.</t>
  </si>
  <si>
    <t>Không báo thành công giả hoặc quay vô hạn; thông báo rõ; khi mạng trở lại tiếp tục dùng được, không mất hoặc nhân đôi trạng thái.</t>
  </si>
  <si>
    <t>TC-AIV1-160</t>
  </si>
  <si>
    <t>Mất mạng</t>
  </si>
  <si>
    <t>NET-OFFLINE; chạy trang chủ, ASR/dịch và TTS.</t>
  </si>
  <si>
    <t>TC-AIV1-161</t>
  </si>
  <si>
    <t>Khôi phục mạng giữa giao dịch</t>
  </si>
  <si>
    <t>NET-RECOVERY; chạy trang chủ, ASR/dịch và TTS.</t>
  </si>
  <si>
    <t>TC-AIV1-162</t>
  </si>
  <si>
    <t>Soak 2 giờ học/dịch xen kẽ</t>
  </si>
  <si>
    <t>Reliability/Soak</t>
  </si>
  <si>
    <t>2 giờ hoặc ngưỡng dài hơn được phê duyệt; chu kỳ học 10 phút + dịch 10 phút + chờ 5 phút.</t>
  </si>
  <si>
    <t>1. Ghi pin/nhiệt/memory baseline.
2. Chạy chu kỳ xen kẽ trong 2 giờ.
3. Mỗi 15 phút ghi crash, ANR, memory, pin, nhiệt, BLE/HFP.
4. Thực hiện reconnect giữa bài.
5. Xuất log cuối phiên.</t>
  </si>
  <si>
    <t>Không crash/ANR/giật rõ/nóng hoặc hao pin bất thường; không rò memory tăng liên tục; mọi bất thường có log.</t>
  </si>
  <si>
    <t>TC-AIV1-163</t>
  </si>
  <si>
    <t>Nâng cấp ứng dụng giữ dữ liệu và liên kết thiết bị</t>
  </si>
  <si>
    <t>Upgrade/Compatibility</t>
  </si>
  <si>
    <t>Build N-1 -&gt; N; có lịch sử dịch, tiến độ bài và thiết bị đã ghép.</t>
  </si>
  <si>
    <t>1. Trên build N-1 tạo dữ liệu và kết nối.
2. Nâng cấp tại chỗ lên build N.
3. Mở app, kiểm tra migration.
4. Chạy lại học/dịch/kết nối.
5. Thử build không tương thích trong môi trường an toàn nếu có.</t>
  </si>
  <si>
    <t>Không mất lịch sử/tiến độ/kết nối mà không báo; migration không crash; phiên bản không tương thích có cảnh báo an toàn.</t>
  </si>
  <si>
    <t>TC-AIV1-164</t>
  </si>
  <si>
    <t>Trẻ hoàn thành luồng cơ bản không cầm điện thoại</t>
  </si>
  <si>
    <t>UAT-CHILD-01; nhiệm vụ bắt đầu-nghe-nói-dừng-tiếp tục; người lớn không hướng dẫn trừ an toàn.</t>
  </si>
  <si>
    <t>1. Phụ huynh hoàn tất thiết lập rồi đặt điện thoại ngoài tầm trẻ.
2. Giao nhiệm vụ bằng câu trung tính.
3. Quan sát trẻ bắt đầu, nghe, nói, dừng và tiếp tục.
4. Ghi số lần cần trợ giúp/bấm nhầm/hụt hẫng.
5. Phỏng vấn ngắn sau phiên.</t>
  </si>
  <si>
    <t>Trẻ hoàn thành luồng cơ bản bằng thiết bị; không cần tổ hợp nút phức tạp; mọi điểm cần người lớn trợ giúp được ghi rõ.</t>
  </si>
  <si>
    <t>TC-AIV1-165</t>
  </si>
  <si>
    <t>Khôi phục sau không hiểu, lỗi mạng và bấm nhầm MAIN</t>
  </si>
  <si>
    <t>Usability/Recovery</t>
  </si>
  <si>
    <t>Ba tình huống lỗi; quan sát trẻ thật có consent hoặc phiên mô phỏng trước UAT.</t>
  </si>
  <si>
    <t>1. Gây từng tình huống trong bài.
2. Không can thiệp trong khoảng quan sát an toàn.
3. Ghi lời nhắc, màn hình/state và hành vi trẻ.
4. Xác nhận có đường thử lại/quay lại.
5. Ghi trẻ có tiếp tục hay bỏ cuộc.</t>
  </si>
  <si>
    <t>Không mắc kẹt im lặng hoặc chuyển sai trang; lời nhắc giúp trẻ phục hồi; trạng thái bài không hỏng; quan sát được lưu có consent.</t>
  </si>
  <si>
    <t>TC-AIV1-166</t>
  </si>
  <si>
    <t>Độ thoải mái khi đeo/cầm trong phiên sử dụng</t>
  </si>
  <si>
    <t>Usability/Safety</t>
  </si>
  <si>
    <t>Thiết bị AIV1/H20 + UAT trẻ có giám sát</t>
  </si>
  <si>
    <t>Đi bộ, ngồi học, chạy nhẹ; thời lượng theo phê duyệt an toàn.</t>
  </si>
  <si>
    <t>1. Kiểm tra ngoại quan và nhiệt trước khi đeo.
2. Trẻ dùng ở ba hoạt động.
3. Quan sát trượt/rơi/cọ xát/bấm nhầm/nhiệt/âm lượng.
4. Hỏi phản hồi ngắn.
5. Dừng ngay nếu khó chịu hoặc có dấu hiệu an toàn.</t>
  </si>
  <si>
    <t>Trẻ chấp nhận đeo/cầm; không từ chối do trọng lượng, kẹp, nóng, âm lượng hoặc ngoại hình; sự cố được ghi và xử lý an toàn.</t>
  </si>
  <si>
    <t>TC-AIV1-167</t>
  </si>
  <si>
    <t>Quyết định NO-GO khi còn P0 Chưa test/Không đạt/Đạt có điều kiện</t>
  </si>
  <si>
    <t>Process/Control</t>
  </si>
  <si>
    <t>Workbook/Quy trình nghiệm thu</t>
  </si>
  <si>
    <t>Mỗi lần đặt một test case P0 ở trạng thái Chưa test, Không đạt, Đạt có điều kiện hoặc N/A.</t>
  </si>
  <si>
    <t>1. Tạo bản sao kiểm tra nội bộ.
2. Đặt từng trạng thái chặn cho một P0.
3. Kiểm tra số đếm Tổng quan.
4. Kiểm tra quyết định khi chưa có phê duyệt rủi ro.
5. Khôi phục dữ liệu ban đầu.</t>
  </si>
  <si>
    <t>Bộ đếm P0 đúng và quyết định là NO-GO khi còn trạng thái chặn, trừ khi có quy trình phê duyệt rủi ro bằng văn bản hợp lệ.</t>
  </si>
  <si>
    <t>TC-AIV1-168</t>
  </si>
  <si>
    <t>Quyết định GO khi toàn bộ P0 Đạt</t>
  </si>
  <si>
    <t>Tất cả test case P0 = Đạt; P1 có thể còn kế hoạch; Future = N/A.</t>
  </si>
  <si>
    <t>1. Tạo bản sao kiểm tra nội bộ.
2. Đặt toàn bộ P0 = Đạt.
3. Giữ P1/Future theo trạng thái hợp lệ.
4. Kiểm tra số đếm và quyết định.
5. Khôi phục dữ liệu ban đầu.</t>
  </si>
  <si>
    <t>P0 blocker = 0 và quyết định hỗ trợ là GO; P1 vẫn phải có owner/ngày khắc phục nếu chưa đóng; Future không chặn V1.</t>
  </si>
  <si>
    <t>TC-AIV1-169</t>
  </si>
  <si>
    <t>GO có điều kiện chỉ khi có phê duyệt rủi ro bằng văn bản</t>
  </si>
  <si>
    <t>Governance/Control</t>
  </si>
  <si>
    <t>Có P0 chưa Đạt; trường phê duyệt rủi ro Có/Không; evidence ID trống/có giá trị.</t>
  </si>
  <si>
    <t>1. Giữ ít nhất một P0 ở trạng thái chặn.
2. Đặt Phê duyệt rủi ro = Không và kiểm tra NO-GO.
3. Đặt = Có nhưng evidence trống và kiểm tra NO-GO.
4. Điền evidence văn bản và kiểm tra trạng thái có điều kiện.
5. Xác minh người quyết định ký ngoài workbook.</t>
  </si>
  <si>
    <t>Không thể coi là GO chỉ bằng xác nhận miệng; trạng thái có điều kiện chỉ xuất hiện khi có đánh dấu phê duyệt và mã bằng chứng văn bản.</t>
  </si>
  <si>
    <t>MA TRẬN TRUY VẾT YÊU CẦU - TEST CASE</t>
  </si>
  <si>
    <t>Requirement ID đã được chuẩn hóa để loại bỏ mã trùng, trong khi Mã nguồn vẫn giữ nguyên để đối chiếu tài liệu Word.</t>
  </si>
  <si>
    <t>Phần</t>
  </si>
  <si>
    <t>Yêu cầu</t>
  </si>
  <si>
    <t>Tiêu chí đạt nguồn</t>
  </si>
  <si>
    <t>Base TC</t>
  </si>
  <si>
    <t>Số TC liên kết</t>
  </si>
  <si>
    <t>Đã Đạt</t>
  </si>
  <si>
    <t>Trạng thái bao phủ</t>
  </si>
  <si>
    <t>0. Bằng chứng hiện có</t>
  </si>
  <si>
    <t>Bằng chứng cuộc gọi hiện có từ nhà máy</t>
  </si>
  <si>
    <t>Bằng chứng BLE hiện có</t>
  </si>
  <si>
    <t>Các bằng chứng thực tế chưa hoàn tất</t>
  </si>
  <si>
    <t>Kế hoạch tương lai, không dùng làm điều kiện đạt V1</t>
  </si>
  <si>
    <t>1. Cổng kiểm soát P0</t>
  </si>
  <si>
    <t>Đường truyền âm thanh HFP hai chiều thực tế</t>
  </si>
  <si>
    <t>HFP và BLE hoạt động đồng thời</t>
  </si>
  <si>
    <t>Không xung đột giữa nhấn ngắn và nhấn giữ MAIN</t>
  </si>
  <si>
    <t>Câu lệnh giọng nói tiếng Việt có kiểm soát</t>
  </si>
  <si>
    <t>Kiểm soát được dịch từng câu và dịch liên tục</t>
  </si>
  <si>
    <t>Giọng trẻ và tiếng ồn phải sử dụng được ở mức cốt lõi</t>
  </si>
  <si>
    <t>Xác minh trên Android và iPhone</t>
  </si>
  <si>
    <t>Sạc và an toàn cơ bản</t>
  </si>
  <si>
    <t>Khóa phiên bản và truy vết được</t>
  </si>
  <si>
    <t>2. A. Chuẩn bị, cài đặt và quyền</t>
  </si>
  <si>
    <t>Gắn phiên bản với từng thiết bị mẫu</t>
  </si>
  <si>
    <t>Cài đặt và khởi động lần đầu</t>
  </si>
  <si>
    <t>Quy trình xin quyền</t>
  </si>
  <si>
    <t>Thiết lập lần đầu cho phụ huynh</t>
  </si>
  <si>
    <t>Chuyển đổi mạng</t>
  </si>
  <si>
    <t>Vị trí lưu log và bằng chứng</t>
  </si>
  <si>
    <t>3. B. Bluetooth, HFP, BLE và nút</t>
  </si>
  <si>
    <t>Ghép đôi trong hệ thống</t>
  </si>
  <si>
    <t>Nguồn micro HFP của thiết bị</t>
  </si>
  <si>
    <t>Nguồn loa HFP của thiết bị</t>
  </si>
  <si>
    <t>HFP và BLE kết nối đồng thời</t>
  </si>
  <si>
    <t>Đối chiếu thực tế BLE Service/UUID</t>
  </si>
  <si>
    <t>Sự kiện nhấn ngắn MAIN</t>
  </si>
  <si>
    <t>Sự kiện nhấn giữ MAIN</t>
  </si>
  <si>
    <t>Âm lượng + / -</t>
  </si>
  <si>
    <t>Nút nguồn</t>
  </si>
  <si>
    <t>Kết nối lại</t>
  </si>
  <si>
    <t>Đọc mức pin</t>
  </si>
  <si>
    <t>4. C. Phần cứng, sạc và âm thanh</t>
  </si>
  <si>
    <t>Ngoại hình và kết cấu</t>
  </si>
  <si>
    <t>Cảm giác và khả năng phân biệt nút</t>
  </si>
  <si>
    <t>Cổng sạc và dây sạc</t>
  </si>
  <si>
    <t>Thời gian sạc thực tế</t>
  </si>
  <si>
    <t>Thời lượng pin / mức tiêu thụ thực tế</t>
  </si>
  <si>
    <t>Hành vi khi đang sạc</t>
  </si>
  <si>
    <t>Nhiệt và bất thường</t>
  </si>
  <si>
    <t>Âm lượng loa</t>
  </si>
  <si>
    <t>Độ rõ khi phát tiếng Anh</t>
  </si>
  <si>
    <t>Độ rõ khi thu giọng từ thiết bị</t>
  </si>
  <si>
    <t>Di chuyển và đeo</t>
  </si>
  <si>
    <t>Khoảng cách kết nối</t>
  </si>
  <si>
    <t>5. D. MAIN và câu lệnh có kiểm soát</t>
  </si>
  <si>
    <t>Nhấn ngắn MAIN khi đang chờ</t>
  </si>
  <si>
    <t>Nghe 6 giây và hướng dẫn lại</t>
  </si>
  <si>
    <t>Phản hồi an toàn khi không hiểu</t>
  </si>
  <si>
    <t>Các cách nói tương đương để vào học theo chủ đề</t>
  </si>
  <si>
    <t>Các cách nói tương đương để vào học từ mới</t>
  </si>
  <si>
    <t>Các cách nói tương đương để vào chức năng dịch</t>
  </si>
  <si>
    <t>Điều khiển câu trong bài học</t>
  </si>
  <si>
    <t>Điều khiển cấp bài học</t>
  </si>
  <si>
    <t>Điều khiển mô-đun từ mới</t>
  </si>
  <si>
    <t>Nhấn giữ MAIN để dừng</t>
  </si>
  <si>
    <t>Trẻ bấm MAIN tùy ý</t>
  </si>
  <si>
    <t>Khả năng nhận diện có kiểm soát tại chỗ</t>
  </si>
  <si>
    <t>6. E. Dịch thời gian thực</t>
  </si>
  <si>
    <t>Khởi động dịch từng câu</t>
  </si>
  <si>
    <t>Độ đầy đủ của dịch từng câu</t>
  </si>
  <si>
    <t>Khởi động dịch liên tục</t>
  </si>
  <si>
    <t>Dừng dịch liên tục</t>
  </si>
  <si>
    <t>Xác định khoảng im lặng</t>
  </si>
  <si>
    <t>Độ trễ đầu-cuối</t>
  </si>
  <si>
    <t>Thông báo khi thất bại</t>
  </si>
  <si>
    <t>Lịch sử và nghe lại</t>
  </si>
  <si>
    <t>7. F. Nội dung học</t>
  </si>
  <si>
    <t>Bài học theo chủ đề phù hợp độ tuổi</t>
  </si>
  <si>
    <t>Cấu trúc bài học rõ ràng</t>
  </si>
  <si>
    <t>Tự động hướng dẫn trong bài học</t>
  </si>
  <si>
    <t>Quy trình ghi âm luyện nói theo</t>
  </si>
  <si>
    <t>Luyện lại</t>
  </si>
  <si>
    <t>Ngôi sao của con</t>
  </si>
  <si>
    <t>Phụ huynh thêm nội dung</t>
  </si>
  <si>
    <t>Tạo câu từ từ đơn</t>
  </si>
  <si>
    <t>Âm thanh tạo sẵn và phát lại</t>
  </si>
  <si>
    <t>Có kiểm soát, phù hợp độ tuổi và an toàn</t>
  </si>
  <si>
    <t>Hoàn thành và thoát bài học</t>
  </si>
  <si>
    <t>8. G. Giọng trẻ em và tiếng ồn</t>
  </si>
  <si>
    <t>Bao phủ giọng nói trẻ em thật</t>
  </si>
  <si>
    <t>Khác biệt Bắc/Trung/Nam</t>
  </si>
  <si>
    <t>Môi trường bình thường</t>
  </si>
  <si>
    <t>Môi trường có tiếng ồn</t>
  </si>
  <si>
    <t>Phân loại lỗi</t>
  </si>
  <si>
    <t>Bộ hồi quy cố định</t>
  </si>
  <si>
    <t>Rà soát trường hợp mất từ điển hình</t>
  </si>
  <si>
    <t>Quyền riêng tư dữ liệu kiểm thử</t>
  </si>
  <si>
    <t>9. H. Tương thích và ổn định</t>
  </si>
  <si>
    <t>Các mẫu Android phổ biến</t>
  </si>
  <si>
    <t>iPhone thật</t>
  </si>
  <si>
    <t>Nền/trước và khóa màn hình</t>
  </si>
  <si>
    <t>Tải khi khởi động nguội</t>
  </si>
  <si>
    <t>Tải xử lý dịch</t>
  </si>
  <si>
    <t>Mạng yếu / mất mạng</t>
  </si>
  <si>
    <t>Bluetooth và các nguồn âm thanh khác</t>
  </si>
  <si>
    <t>Crash và bộ nhớ</t>
  </si>
  <si>
    <t>Tương thích khi nâng cấp phiên bản</t>
  </si>
  <si>
    <t>10. I. Trải nghiệm phụ huynh và trẻ</t>
  </si>
  <si>
    <t>Khả năng trẻ tự sử dụng</t>
  </si>
  <si>
    <t>Vai trò phụ huynh rõ ràng</t>
  </si>
  <si>
    <t>Lời nhắc tự nhiên</t>
  </si>
  <si>
    <t>Quan sát mức độ hụt hẫng</t>
  </si>
  <si>
    <t>Nhịp độ bài học</t>
  </si>
  <si>
    <t>Cảm nhận về giá trị</t>
  </si>
  <si>
    <t>Độ thoải mái và mức chấp nhận khi đeo</t>
  </si>
  <si>
    <t>Ngôn ngữ truyền thông tránh rủi ro hậu mãi</t>
  </si>
  <si>
    <t>11. J. Mức độ sẵn sàng tương lai</t>
  </si>
  <si>
    <t>Lộ trình nâng cấp firmware OTA</t>
  </si>
  <si>
    <t>Khả năng mở rộng giao thức phần cứng</t>
  </si>
  <si>
    <t>Kiến trúc đa ngôn ngữ</t>
  </si>
  <si>
    <t>Tiếng Việt → tiếng Trung</t>
  </si>
  <si>
    <t>Tiếng Việt → tiếng Nhật / tiếng Hàn</t>
  </si>
  <si>
    <t>Chi phí và cache</t>
  </si>
  <si>
    <t>12. Khép kín và quyết định</t>
  </si>
  <si>
    <t>Tổng hợp P0</t>
  </si>
  <si>
    <t>Tổng hợp P1</t>
  </si>
  <si>
    <t>Trạng thái cuối của thiết bị mẫu</t>
  </si>
  <si>
    <t>Hạng mục ODM cần xác nhận</t>
  </si>
  <si>
    <t>Hạng mục đội APK cần xác nhận</t>
  </si>
  <si>
    <t>Sếp xác nhận cuối cùng</t>
  </si>
  <si>
    <t>DỮ LIỆU &amp; PROFILE KIỂM THỬ</t>
  </si>
  <si>
    <t>Bộ dữ liệu khởi tạo; cần bổ sung giá trị thật, consent và expected mapping đã được phê duyệt trước khi chạy.</t>
  </si>
  <si>
    <t>Nhóm</t>
  </si>
  <si>
    <t>Data ID</t>
  </si>
  <si>
    <t>Đầu vào/Profile</t>
  </si>
  <si>
    <t>Thiết lập</t>
  </si>
  <si>
    <t>Kết quả/Oracle</t>
  </si>
  <si>
    <t>Áp dụng cho</t>
  </si>
  <si>
    <t>Thiết bị</t>
  </si>
  <si>
    <t>DEV-AND-01</t>
  </si>
  <si>
    <t>Android phổ biến tại Việt Nam</t>
  </si>
  <si>
    <t>Điền model, RAM, Android/API, hãng</t>
  </si>
  <si>
    <t>Chạy đủ E2E</t>
  </si>
  <si>
    <t>GATE-G07, COMP-H01</t>
  </si>
  <si>
    <t>Placeholder bắt buộc thay</t>
  </si>
  <si>
    <t>DEV-AND-02</t>
  </si>
  <si>
    <t>Android khác hãng/OS</t>
  </si>
  <si>
    <t>DEV-IOS-01</t>
  </si>
  <si>
    <t>Điền model/iOS và build iOS</t>
  </si>
  <si>
    <t>GATE-G07, COMP-H02</t>
  </si>
  <si>
    <t>APK không áp dụng</t>
  </si>
  <si>
    <t>Môi trường</t>
  </si>
  <si>
    <t>ENV-QUIET</t>
  </si>
  <si>
    <t>Phòng yên tĩnh</t>
  </si>
  <si>
    <t>Ghi dBA nền, khoảng cách, hướng nói</t>
  </si>
  <si>
    <t>Baseline</t>
  </si>
  <si>
    <t>Voice/Audio</t>
  </si>
  <si>
    <t>Không dùng cảm tính thay số đo nếu có thiết bị</t>
  </si>
  <si>
    <t>ENV-HOME</t>
  </si>
  <si>
    <t>Gia đình bình thường</t>
  </si>
  <si>
    <t>TV nhỏ, người đi lại</t>
  </si>
  <si>
    <t>Không mất từ/nhầm nguồn thường xuyên</t>
  </si>
  <si>
    <t>Voice/Audio/UAT</t>
  </si>
  <si>
    <t>Ghi dBA</t>
  </si>
  <si>
    <t>ENV-TV</t>
  </si>
  <si>
    <t>TV có lời thoại</t>
  </si>
  <si>
    <t>Trẻ im lặng rồi nói xen kẽ</t>
  </si>
  <si>
    <t>Không nhận TV là trẻ</t>
  </si>
  <si>
    <t>GATE-G05, VOICE-G04</t>
  </si>
  <si>
    <t>ENV-ADULT</t>
  </si>
  <si>
    <t>Người lớn nói chen</t>
  </si>
  <si>
    <t>Người lớn gần/xa thiết bị</t>
  </si>
  <si>
    <t>Không nhận nhầm là lệnh trẻ</t>
  </si>
  <si>
    <t>GATE-G06, VOICE-G04</t>
  </si>
  <si>
    <t>ENV-CLASS</t>
  </si>
  <si>
    <t>Tiếng lớp học</t>
  </si>
  <si>
    <t>Nhiều giọng và chuyển động</t>
  </si>
  <si>
    <t>Câu cốt lõi vẫn dùng được</t>
  </si>
  <si>
    <t>HW-C08, VOICE-G04</t>
  </si>
  <si>
    <t>Mạng</t>
  </si>
  <si>
    <t>NET-WIFI</t>
  </si>
  <si>
    <t>Wi-Fi tốt</t>
  </si>
  <si>
    <t>Ghi latency/bandwidth/loss</t>
  </si>
  <si>
    <t>E06/H05</t>
  </si>
  <si>
    <t>NET-MOBILE</t>
  </si>
  <si>
    <t>Dữ liệu di động</t>
  </si>
  <si>
    <t>Ghi nhà mạng và signal</t>
  </si>
  <si>
    <t>So sánh Wi-Fi</t>
  </si>
  <si>
    <t>A05/E06</t>
  </si>
  <si>
    <t>NET-WEAK</t>
  </si>
  <si>
    <t>Ngưỡng cần QA phê duyệt</t>
  </si>
  <si>
    <t>Thông báo/retry rõ</t>
  </si>
  <si>
    <t>A05/E07/H06</t>
  </si>
  <si>
    <t>NET-OFFLINE</t>
  </si>
  <si>
    <t>Mất mạng hoàn toàn</t>
  </si>
  <si>
    <t>Tắt cả Wi-Fi/mobile</t>
  </si>
  <si>
    <t>Không báo thành công; không quay vô hạn</t>
  </si>
  <si>
    <t>E07/H06</t>
  </si>
  <si>
    <t>NET-RECOVERY</t>
  </si>
  <si>
    <t>Mất rồi có lại giữa giao dịch</t>
  </si>
  <si>
    <t>Khôi phục sau 10-30 giây</t>
  </si>
  <si>
    <t>Tiếp tục được; không trùng dữ liệu</t>
  </si>
  <si>
    <t>Bluetooth</t>
  </si>
  <si>
    <t>BT-PAIR</t>
  </si>
  <si>
    <t>Find/pair/unpair/re-pair</t>
  </si>
  <si>
    <t>Android + iPhone</t>
  </si>
  <si>
    <t>Tên rõ; không nhầm thiết bị</t>
  </si>
  <si>
    <t>BT-HFP-MIC</t>
  </si>
  <si>
    <t>Đối chứng nguồn micro</t>
  </si>
  <si>
    <t>Che micro phone/đặt xa/đưa thiết bị gần</t>
  </si>
  <si>
    <t>Audio input từ thiết bị</t>
  </si>
  <si>
    <t>GATE-G01/B02</t>
  </si>
  <si>
    <t>BT-HFP-SPK</t>
  </si>
  <si>
    <t>Đối chứng nguồn loa</t>
  </si>
  <si>
    <t>Che loa phone/đổi volume</t>
  </si>
  <si>
    <t>TTS từ loa thiết bị</t>
  </si>
  <si>
    <t>GATE-G01/B03</t>
  </si>
  <si>
    <t>BT-RECONNECT</t>
  </si>
  <si>
    <t>BT off/on, out-of-range, background</t>
  </si>
  <si>
    <t>Tách thời gian HFP và BLE</t>
  </si>
  <si>
    <t>Phục hồi theo thiết kế</t>
  </si>
  <si>
    <t>G02/B10</t>
  </si>
  <si>
    <t>Lệnh</t>
  </si>
  <si>
    <t>CMD-LEARN-01</t>
  </si>
  <si>
    <t>Học bài</t>
  </si>
  <si>
    <t>Nhấn MAIN rồi nói</t>
  </si>
  <si>
    <t>Intent học theo chủ đề</t>
  </si>
  <si>
    <t>G04/D04</t>
  </si>
  <si>
    <t>CMD-LEARN-02</t>
  </si>
  <si>
    <t>CMD-LEARN-03</t>
  </si>
  <si>
    <t>Học khóa học</t>
  </si>
  <si>
    <t>CMD-LEARN-04</t>
  </si>
  <si>
    <t>Bắt đầu bài học</t>
  </si>
  <si>
    <t>CMD-NEW-01</t>
  </si>
  <si>
    <t>Học từ mới</t>
  </si>
  <si>
    <t>Intent học từ mới</t>
  </si>
  <si>
    <t>G04/D05</t>
  </si>
  <si>
    <t>CMD-NEW-02</t>
  </si>
  <si>
    <t>Học từ</t>
  </si>
  <si>
    <t>CMD-NEW-03</t>
  </si>
  <si>
    <t>Luyện từ</t>
  </si>
  <si>
    <t>CMD-TRANS-01</t>
  </si>
  <si>
    <t>Dịch tiếng Anh</t>
  </si>
  <si>
    <t>Intent dịch</t>
  </si>
  <si>
    <t>G04/D06</t>
  </si>
  <si>
    <t>CMD-TRANS-02</t>
  </si>
  <si>
    <t>Con muốn dịch</t>
  </si>
  <si>
    <t>CMD-TRANS-03</t>
  </si>
  <si>
    <t>Dịch một câu</t>
  </si>
  <si>
    <t>Intent dịch từng câu</t>
  </si>
  <si>
    <t>CMD-TRANS-04</t>
  </si>
  <si>
    <t>Dịch liên tục</t>
  </si>
  <si>
    <t>Intent dịch liên tục</t>
  </si>
  <si>
    <t>CMD-NAV-01</t>
  </si>
  <si>
    <t>Câu tiếp theo / Câu trước / Nghe lại</t>
  </si>
  <si>
    <t>Trong bài</t>
  </si>
  <si>
    <t>Điều khiển đúng cấp câu</t>
  </si>
  <si>
    <t>CMD-NAV-02</t>
  </si>
  <si>
    <t>Bài tiếp theo / Bài trước</t>
  </si>
  <si>
    <t>Điều khiển đúng cấp bài</t>
  </si>
  <si>
    <t>CMD-STOP-01</t>
  </si>
  <si>
    <t>Dừng lại</t>
  </si>
  <si>
    <t>Trong dịch liên tục</t>
  </si>
  <si>
    <t>Dừng và không thu tiếp</t>
  </si>
  <si>
    <t>Negative</t>
  </si>
  <si>
    <t>NEG-NO-SPEECH</t>
  </si>
  <si>
    <t>Im lặng hai cửa sổ nghe</t>
  </si>
  <si>
    <t>Khoảng 6 giây mỗi lần</t>
  </si>
  <si>
    <t>Nhắc 1 lần rồi thoát</t>
  </si>
  <si>
    <t>NEG-GIBBERISH</t>
  </si>
  <si>
    <t>Câu vô nghĩa/không thuộc từ điển</t>
  </si>
  <si>
    <t>Âm lượng bình thường</t>
  </si>
  <si>
    <t>Fallback, không nhảy module</t>
  </si>
  <si>
    <t>NEG-LOW-CONF</t>
  </si>
  <si>
    <t>Nói nhỏ/không rõ</t>
  </si>
  <si>
    <t>Giữ audio để phân tích</t>
  </si>
  <si>
    <t>Hướng dẫn nói lại</t>
  </si>
  <si>
    <t>Dịch</t>
  </si>
  <si>
    <t>TR-CORE-01</t>
  </si>
  <si>
    <t>Mẹ ơi, con muốn mua cái này</t>
  </si>
  <si>
    <t>Giọng trẻ, một câu</t>
  </si>
  <si>
    <t>Giữ xưng hô và nhu cầu</t>
  </si>
  <si>
    <t>E02/G07</t>
  </si>
  <si>
    <t>Case nguồn điển hình</t>
  </si>
  <si>
    <t>TR-CORE-02</t>
  </si>
  <si>
    <t>Con không muốn ăn món này</t>
  </si>
  <si>
    <t>Kiểm tra phủ định</t>
  </si>
  <si>
    <t>Giữ chủ ngữ và phủ định</t>
  </si>
  <si>
    <t>TR-CORE-03</t>
  </si>
  <si>
    <t>Bố ơi, con cần đi vệ sinh</t>
  </si>
  <si>
    <t>Kiểm tra xưng hô/nhu cầu</t>
  </si>
  <si>
    <t>Ngắn, an toàn, đúng nghĩa</t>
  </si>
  <si>
    <t>TR-CORE-04</t>
  </si>
  <si>
    <t>Con bị đau ở đây</t>
  </si>
  <si>
    <t>Ngữ cảnh nhạy cảm</t>
  </si>
  <si>
    <t>Không thêm/chẩn đoán sai</t>
  </si>
  <si>
    <t>E02/F10</t>
  </si>
  <si>
    <t>Cần policy nội dung</t>
  </si>
  <si>
    <t>TR-SLOW-01</t>
  </si>
  <si>
    <t>Mẹ ơi... con muốn... mua cái này</t>
  </si>
  <si>
    <t>Dừng 0,5-2 giây</t>
  </si>
  <si>
    <t>Không cắt sớm</t>
  </si>
  <si>
    <t>Tuổi</t>
  </si>
  <si>
    <t>AGE-LOW</t>
  </si>
  <si>
    <t>Tuổi thấp nhất hỗ trợ</t>
  </si>
  <si>
    <t>Theo định nghĩa sản phẩm</t>
  </si>
  <si>
    <t>Nội dung phù hợp</t>
  </si>
  <si>
    <t>Cần PO xác nhận</t>
  </si>
  <si>
    <t>AGE-BOUNDARY</t>
  </si>
  <si>
    <t>Tuổi tại ranh giới hai nhóm</t>
  </si>
  <si>
    <t>Test hai phía ranh giới</t>
  </si>
  <si>
    <t>Mapping nhất quán</t>
  </si>
  <si>
    <t>AGE-HIGH</t>
  </si>
  <si>
    <t>Tuổi cao nhất hỗ trợ</t>
  </si>
  <si>
    <t>Nội dung</t>
  </si>
  <si>
    <t>CONTENT-WORD</t>
  </si>
  <si>
    <t>Một từ đơn phổ biến</t>
  </si>
  <si>
    <t>Phụ huynh thêm</t>
  </si>
  <si>
    <t>Khớp câu đã duyệt</t>
  </si>
  <si>
    <t>F07/F08</t>
  </si>
  <si>
    <t>CONTENT-UNKNOWN-01</t>
  </si>
  <si>
    <t>Từ hiếm không có trong kho</t>
  </si>
  <si>
    <t>Chờ xác nhận, không tự sinh sai</t>
  </si>
  <si>
    <t>An toàn</t>
  </si>
  <si>
    <t>SAFE-PROFANITY</t>
  </si>
  <si>
    <t>Từ tục/xúc phạm</t>
  </si>
  <si>
    <t>Dùng dữ liệu giả lập tối thiểu</t>
  </si>
  <si>
    <t>Chặn/phản hồi an toàn</t>
  </si>
  <si>
    <t>Không lưu trong tài liệu chia sẻ rộng</t>
  </si>
  <si>
    <t>SAFE-SEXUAL</t>
  </si>
  <si>
    <t>Nội dung tình dục</t>
  </si>
  <si>
    <t>Dữ liệu kiểm soát</t>
  </si>
  <si>
    <t>Không đưa tới trẻ</t>
  </si>
  <si>
    <t>SAFE-VIOLENCE</t>
  </si>
  <si>
    <t>Nội dung bạo lực/đẫm máu</t>
  </si>
  <si>
    <t>Voice cohort</t>
  </si>
  <si>
    <t>VOICE-B/N/T</t>
  </si>
  <si>
    <t>Mẫu Bắc/Trung/Nam</t>
  </si>
  <si>
    <t>Mã ẩn danh + consent</t>
  </si>
  <si>
    <t>Kết quả tách theo vùng</t>
  </si>
  <si>
    <t>G01-G04</t>
  </si>
  <si>
    <t>Không ghi PII</t>
  </si>
  <si>
    <t>Interrupt</t>
  </si>
  <si>
    <t>INT-BG</t>
  </si>
  <si>
    <t>App background/foreground</t>
  </si>
  <si>
    <t>60 giây</t>
  </si>
  <si>
    <t>Phục hồi rõ</t>
  </si>
  <si>
    <t>INT-LOCK</t>
  </si>
  <si>
    <t>30 giây</t>
  </si>
  <si>
    <t>Không lỗi im lặng</t>
  </si>
  <si>
    <t>INT-CALL</t>
  </si>
  <si>
    <t>Cuộc gọi đến</t>
  </si>
  <si>
    <t>Trong ghi/phát/dịch</t>
  </si>
  <si>
    <t>Audio route phục hồi</t>
  </si>
  <si>
    <t>H03/H07</t>
  </si>
  <si>
    <t>UAT</t>
  </si>
  <si>
    <t>UAT-CHILD-01</t>
  </si>
  <si>
    <t>Trẻ tự dùng không cầm điện thoại</t>
  </si>
  <si>
    <t>Có giám sát + consent</t>
  </si>
  <si>
    <t>Hoàn thành luồng cốt lõi</t>
  </si>
  <si>
    <t>I01/I04/I07</t>
  </si>
  <si>
    <t>Dừng nếu trẻ khó chịu</t>
  </si>
  <si>
    <t>UAT-PARENT-01</t>
  </si>
  <si>
    <t>Thiết lập và quản lý phụ huynh</t>
  </si>
  <si>
    <t>Kết nối/tuổi/nội dung/lịch sử/quyền</t>
  </si>
  <si>
    <t>Vai trò rõ</t>
  </si>
  <si>
    <t>I02/I06</t>
  </si>
  <si>
    <t>DEFECT LOG</t>
  </si>
  <si>
    <t>Mọi test case Không đạt phải có Defect ID, bước tái hiện, môi trường, bằng chứng và owner. Không dùng mô tả chung chung như 'dịch không chính xác'.</t>
  </si>
  <si>
    <t>Related TC</t>
  </si>
  <si>
    <t>Requirement</t>
  </si>
  <si>
    <t>Severity</t>
  </si>
  <si>
    <t>Priority</t>
  </si>
  <si>
    <t>Status</t>
  </si>
  <si>
    <t>Repro rate</t>
  </si>
  <si>
    <t>Bước tái hiện</t>
  </si>
  <si>
    <t>Actual</t>
  </si>
  <si>
    <t>Expected</t>
  </si>
  <si>
    <t>Evidence</t>
  </si>
  <si>
    <t>Owner</t>
  </si>
  <si>
    <t>Target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</si>
</sst>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font>
      <sz val="11"/>
      <name val="Carlito"/>
    </font>
    <font>
      <b/>
      <sz val="18"/>
      <color rgb="FFFFFFFF"/>
      <name val="Carlito"/>
    </font>
    <font>
      <i/>
      <sz val="10"/>
      <color rgb="FF595959"/>
      <name val="Carlito"/>
    </font>
    <font>
      <b/>
      <sz val="10"/>
      <color rgb="FFFFFFFF"/>
      <name val="Carlito"/>
    </font>
    <font>
      <sz val="9"/>
      <color rgb="FF1F1F1F"/>
      <name val="Carlito"/>
    </font>
    <font>
      <b/>
      <sz val="11"/>
      <color rgb="FF9C0006"/>
      <name val="Carlito"/>
    </font>
    <font>
      <b/>
      <sz val="12"/>
      <color rgb="FFFFFFFF"/>
      <name val="Carlito"/>
    </font>
    <font>
      <b/>
      <sz val="11"/>
      <color rgb="FF1F4E78"/>
      <name val="Carlito"/>
    </font>
  </fonts>
  <fills count="10">
    <fill>
      <patternFill patternType="none"/>
    </fill>
    <fill>
      <patternFill patternType="gray125"/>
    </fill>
    <fill>
      <patternFill patternType="solid">
        <fgColor rgb="FF17365D"/>
      </patternFill>
    </fill>
    <fill>
      <patternFill patternType="solid">
        <fgColor rgb="FFEAF3F8"/>
      </patternFill>
    </fill>
    <fill>
      <patternFill patternType="solid">
        <fgColor rgb="FF1F4E78"/>
      </patternFill>
    </fill>
    <fill>
      <patternFill patternType="solid">
        <fgColor rgb="FFFFF2CC"/>
      </patternFill>
    </fill>
    <fill>
      <patternFill patternType="solid">
        <fgColor rgb="FFFFFDF2"/>
      </patternFill>
    </fill>
    <fill>
      <patternFill patternType="solid">
        <fgColor rgb="FF0F6B78"/>
      </patternFill>
    </fill>
    <fill>
      <patternFill patternType="solid">
        <fgColor rgb="FFFDE9E7"/>
      </patternFill>
    </fill>
    <fill>
      <patternFill patternType="solid">
        <fgColor rgb="FFFCE4D6"/>
      </patternFill>
    </fill>
  </fills>
  <borders count="6">
    <border>
      <left/>
      <right/>
      <top/>
      <bottom/>
      <diagonal/>
    </border>
    <border>
      <left style="thin">
        <color rgb="FFC9D2DC"/>
      </left>
      <right style="thin">
        <color rgb="FFC9D2DC"/>
      </right>
      <top style="thin">
        <color rgb="FFC9D2DC"/>
      </top>
      <bottom style="thin">
        <color rgb="FFC9D2DC"/>
      </bottom>
      <diagonal/>
    </border>
    <border>
      <left/>
      <right/>
      <top/>
      <bottom style="thin">
        <color rgb="FFC9D2DC"/>
      </bottom>
      <diagonal/>
    </border>
    <border>
      <left/>
      <right/>
      <top style="thin">
        <color rgb="FFC9D2DC"/>
      </top>
      <bottom style="thin">
        <color rgb="FFC9D2DC"/>
      </bottom>
      <diagonal/>
    </border>
    <border>
      <left style="medium">
        <color rgb="FF9C0006"/>
      </left>
      <right/>
      <top style="medium">
        <color rgb="FF9C0006"/>
      </top>
      <bottom style="medium">
        <color rgb="FF9C0006"/>
      </bottom>
      <diagonal/>
    </border>
    <border>
      <left/>
      <right style="medium">
        <color rgb="FF9C0006"/>
      </right>
      <top style="medium">
        <color rgb="FF9C0006"/>
      </top>
      <bottom style="medium">
        <color rgb="FF9C0006"/>
      </bottom>
      <diagonal/>
    </border>
  </borders>
  <cellStyleXfs count="1">
    <xf numFmtId="0" fontId="0" fillId="0" borderId="0"/>
  </cellStyleXfs>
  <cellXfs count="25">
    <xf numFmtId="0" fontId="0" fillId="0" borderId="0" xfId="0"/>
    <xf numFmtId="0" fontId="3" fillId="4" borderId="1" xfId="0" applyFont="1" applyFill="1" applyBorder="1" applyAlignment="1">
      <alignment horizontal="center" vertical="center" wrapText="1"/>
    </xf>
    <xf numFmtId="0" fontId="4" fillId="0" borderId="2" xfId="0" applyFont="1" applyBorder="1" applyAlignment="1">
      <alignment vertical="top" wrapText="1"/>
    </xf>
    <xf numFmtId="0" fontId="4" fillId="0" borderId="3" xfId="0" applyFont="1" applyBorder="1" applyAlignment="1">
      <alignment vertical="top" wrapText="1"/>
    </xf>
    <xf numFmtId="0" fontId="4" fillId="5" borderId="2" xfId="0" applyFont="1" applyFill="1" applyBorder="1" applyAlignment="1">
      <alignment vertical="top" wrapText="1"/>
    </xf>
    <xf numFmtId="0" fontId="4" fillId="5" borderId="3" xfId="0" applyFont="1" applyFill="1" applyBorder="1" applyAlignment="1">
      <alignment vertical="top"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4" fillId="6" borderId="2" xfId="0" applyFont="1" applyFill="1" applyBorder="1" applyAlignment="1">
      <alignment vertical="top" wrapText="1"/>
    </xf>
    <xf numFmtId="0" fontId="4" fillId="6" borderId="3" xfId="0" applyFont="1" applyFill="1" applyBorder="1" applyAlignment="1">
      <alignment vertical="top" wrapText="1"/>
    </xf>
    <xf numFmtId="164" fontId="4" fillId="6" borderId="2" xfId="0" applyNumberFormat="1" applyFont="1" applyFill="1" applyBorder="1" applyAlignment="1">
      <alignment vertical="top" wrapText="1"/>
    </xf>
    <xf numFmtId="164" fontId="4" fillId="6" borderId="3" xfId="0" applyNumberFormat="1" applyFont="1" applyFill="1" applyBorder="1" applyAlignment="1">
      <alignment vertical="top" wrapText="1"/>
    </xf>
    <xf numFmtId="0" fontId="4" fillId="8" borderId="2" xfId="0" applyFont="1" applyFill="1" applyBorder="1" applyAlignment="1">
      <alignment vertical="top" wrapText="1"/>
    </xf>
    <xf numFmtId="0" fontId="4" fillId="3" borderId="3" xfId="0" applyFont="1" applyFill="1" applyBorder="1" applyAlignment="1">
      <alignment vertical="top" wrapText="1"/>
    </xf>
    <xf numFmtId="0" fontId="4" fillId="9" borderId="3" xfId="0" applyFont="1" applyFill="1" applyBorder="1" applyAlignment="1">
      <alignment vertical="top" wrapText="1"/>
    </xf>
    <xf numFmtId="9" fontId="4" fillId="0" borderId="3" xfId="0" applyNumberFormat="1" applyFont="1" applyBorder="1" applyAlignment="1">
      <alignment vertical="top" wrapText="1"/>
    </xf>
    <xf numFmtId="0" fontId="5" fillId="5" borderId="4" xfId="0" applyFont="1" applyFill="1" applyBorder="1" applyAlignment="1">
      <alignment vertical="center" wrapText="1"/>
    </xf>
    <xf numFmtId="0" fontId="5" fillId="5" borderId="5" xfId="0" applyFont="1" applyFill="1" applyBorder="1" applyAlignment="1">
      <alignment vertical="center" wrapText="1"/>
    </xf>
    <xf numFmtId="0" fontId="1" fillId="2" borderId="0" xfId="0" applyFont="1" applyFill="1" applyAlignment="1">
      <alignment horizontal="left" vertical="center"/>
    </xf>
    <xf numFmtId="0" fontId="2" fillId="3" borderId="0" xfId="0" applyFont="1" applyFill="1" applyAlignment="1">
      <alignment vertical="center" wrapText="1"/>
    </xf>
    <xf numFmtId="0" fontId="6" fillId="7" borderId="0" xfId="0" applyFont="1" applyFill="1" applyAlignment="1">
      <alignment vertical="center"/>
    </xf>
    <xf numFmtId="0" fontId="7" fillId="3" borderId="0" xfId="0" applyFont="1" applyFill="1" applyAlignment="1">
      <alignment vertical="center" wrapText="1"/>
    </xf>
    <xf numFmtId="0" fontId="5" fillId="5" borderId="0" xfId="0" applyFont="1" applyFill="1" applyAlignment="1">
      <alignment vertical="center" wrapText="1"/>
    </xf>
  </cellXfs>
  <cellStyles count="1">
    <cellStyle name="Normal" xfId="0" builtinId="0"/>
  </cellStyles>
  <dxfs count="12">
    <dxf>
      <font>
        <color rgb="FF7F6000"/>
      </font>
      <fill>
        <patternFill patternType="solid">
          <bgColor rgb="FFFFF2CC"/>
        </patternFill>
      </fill>
    </dxf>
    <dxf>
      <font>
        <b/>
        <color rgb="FF2F641C"/>
      </font>
      <fill>
        <patternFill patternType="solid">
          <bgColor rgb="FFE2F0D9"/>
        </patternFill>
      </fill>
    </dxf>
    <dxf>
      <font>
        <b/>
        <color rgb="FF9C0006"/>
      </font>
      <fill>
        <patternFill patternType="solid">
          <bgColor rgb="FFF4CCCC"/>
        </patternFill>
      </fill>
    </dxf>
    <dxf>
      <font>
        <b/>
        <color rgb="FF9C5700"/>
      </font>
      <fill>
        <patternFill patternType="solid">
          <bgColor rgb="FFFCE4D6"/>
        </patternFill>
      </fill>
    </dxf>
    <dxf>
      <font>
        <b/>
        <color rgb="FF1F4E78"/>
      </font>
      <fill>
        <patternFill patternType="solid">
          <bgColor rgb="FFDDEBF7"/>
        </patternFill>
      </fill>
    </dxf>
    <dxf>
      <font>
        <b/>
        <color rgb="FF9C0006"/>
      </font>
      <fill>
        <patternFill patternType="solid">
          <bgColor rgb="FFF4CCCC"/>
        </patternFill>
      </fill>
    </dxf>
    <dxf>
      <font>
        <color rgb="FF9C5700"/>
      </font>
      <fill>
        <patternFill patternType="solid">
          <bgColor rgb="FFFCE4D6"/>
        </patternFill>
      </fill>
    </dxf>
    <dxf>
      <font>
        <color rgb="FF595959"/>
      </font>
      <fill>
        <patternFill patternType="solid">
          <bgColor rgb="FFE7E6E6"/>
        </patternFill>
      </fill>
    </dxf>
    <dxf>
      <font>
        <b/>
        <color rgb="FF9C0006"/>
      </font>
      <fill>
        <patternFill patternType="solid">
          <bgColor rgb="FFF4CCCC"/>
        </patternFill>
      </fill>
    </dxf>
    <dxf>
      <font>
        <b/>
        <color rgb="FF7F6000"/>
      </font>
      <fill>
        <patternFill patternType="solid">
          <bgColor rgb="FFFFF2CC"/>
        </patternFill>
      </fill>
    </dxf>
    <dxf>
      <font>
        <b/>
        <color rgb="FF2F641C"/>
      </font>
      <fill>
        <patternFill patternType="solid">
          <bgColor rgb="FFE2F0D9"/>
        </patternFill>
      </fill>
    </dxf>
    <dxf>
      <font>
        <b/>
        <color rgb="FF9C0006"/>
      </font>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IV1TestCases" displayName="AIV1TestCases" ref="A6:U175" totalsRowShown="0">
  <autoFilter ref="A6:U175" xr:uid="{00000000-0009-0000-0100-000001000000}"/>
  <tableColumns count="21">
    <tableColumn id="1" xr3:uid="{00000000-0010-0000-0000-000001000000}" name="STT"/>
    <tableColumn id="2" xr3:uid="{00000000-0010-0000-0000-000002000000}" name="Test Case ID"/>
    <tableColumn id="3" xr3:uid="{00000000-0010-0000-0000-000003000000}" name="Requirement ID"/>
    <tableColumn id="4" xr3:uid="{00000000-0010-0000-0000-000004000000}" name="Mã nguồn"/>
    <tableColumn id="5" xr3:uid="{00000000-0010-0000-0000-000005000000}" name="Module"/>
    <tableColumn id="6" xr3:uid="{00000000-0010-0000-0000-000006000000}" name="Tiêu đề"/>
    <tableColumn id="7" xr3:uid="{00000000-0010-0000-0000-000007000000}" name="Mức"/>
    <tableColumn id="8" xr3:uid="{00000000-0010-0000-0000-000008000000}" name="Loại test"/>
    <tableColumn id="9" xr3:uid="{00000000-0010-0000-0000-000009000000}" name="Cấp test"/>
    <tableColumn id="10" xr3:uid="{00000000-0010-0000-0000-00000A000000}" name="Nền tảng"/>
    <tableColumn id="11" xr3:uid="{00000000-0010-0000-0000-00000B000000}" name="Tiền điều kiện"/>
    <tableColumn id="12" xr3:uid="{00000000-0010-0000-0000-00000C000000}" name="Dữ liệu test"/>
    <tableColumn id="13" xr3:uid="{00000000-0010-0000-0000-00000D000000}" name="Các bước thực hiện"/>
    <tableColumn id="14" xr3:uid="{00000000-0010-0000-0000-00000E000000}" name="Kết quả mong đợi"/>
    <tableColumn id="15" xr3:uid="{00000000-0010-0000-0000-00000F000000}" name="Result"/>
    <tableColumn id="16" xr3:uid="{00000000-0010-0000-0000-000010000000}" name="Defect ID"/>
    <tableColumn id="17" xr3:uid="{00000000-0010-0000-0000-000011000000}" name="Evidence ID/Link"/>
    <tableColumn id="18" xr3:uid="{00000000-0010-0000-0000-000012000000}" name="Kết quả thực tế"/>
    <tableColumn id="19" xr3:uid="{00000000-0010-0000-0000-000013000000}" name="Tester"/>
    <tableColumn id="20" xr3:uid="{00000000-0010-0000-0000-000014000000}" name="Ngày chạy"/>
    <tableColumn id="21" xr3:uid="{00000000-0010-0000-0000-000015000000}" name="Ghi chú"/>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IV1Traceability" displayName="AIV1Traceability" ref="A5:J115" totalsRowShown="0">
  <tableColumns count="10">
    <tableColumn id="1" xr3:uid="{00000000-0010-0000-0100-000001000000}" name="Requirement ID"/>
    <tableColumn id="2" xr3:uid="{00000000-0010-0000-0100-000002000000}" name="Mã nguồn"/>
    <tableColumn id="3" xr3:uid="{00000000-0010-0000-0100-000003000000}" name="Phần"/>
    <tableColumn id="4" xr3:uid="{00000000-0010-0000-0100-000004000000}" name="Yêu cầu"/>
    <tableColumn id="5" xr3:uid="{00000000-0010-0000-0100-000005000000}" name="Tiêu chí đạt nguồn"/>
    <tableColumn id="6" xr3:uid="{00000000-0010-0000-0100-000006000000}" name="Mức"/>
    <tableColumn id="7" xr3:uid="{00000000-0010-0000-0100-000007000000}" name="Base TC"/>
    <tableColumn id="8" xr3:uid="{00000000-0010-0000-0100-000008000000}" name="Số TC liên kết"/>
    <tableColumn id="9" xr3:uid="{00000000-0010-0000-0100-000009000000}" name="Đã Đạt"/>
    <tableColumn id="10" xr3:uid="{00000000-0010-0000-0100-00000A000000}" name="Trạng thái bao phủ"/>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IV1TestData" displayName="AIV1TestData" ref="A5:G58" totalsRowShown="0">
  <tableColumns count="7">
    <tableColumn id="1" xr3:uid="{00000000-0010-0000-0200-000001000000}" name="Nhóm"/>
    <tableColumn id="2" xr3:uid="{00000000-0010-0000-0200-000002000000}" name="Data ID"/>
    <tableColumn id="3" xr3:uid="{00000000-0010-0000-0200-000003000000}" name="Đầu vào/Profile"/>
    <tableColumn id="4" xr3:uid="{00000000-0010-0000-0200-000004000000}" name="Thiết lập"/>
    <tableColumn id="5" xr3:uid="{00000000-0010-0000-0200-000005000000}" name="Kết quả/Oracle"/>
    <tableColumn id="6" xr3:uid="{00000000-0010-0000-0200-000006000000}" name="Áp dụng cho"/>
    <tableColumn id="7" xr3:uid="{00000000-0010-0000-0200-000007000000}" name="Ghi chú"/>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IV1Defects" displayName="AIV1Defects" ref="A5:O30" totalsRowShown="0">
  <tableColumns count="15">
    <tableColumn id="1" xr3:uid="{00000000-0010-0000-0300-000001000000}" name="Defect ID"/>
    <tableColumn id="2" xr3:uid="{00000000-0010-0000-0300-000002000000}" name="Related TC"/>
    <tableColumn id="3" xr3:uid="{00000000-0010-0000-0300-000003000000}" name="Requirement"/>
    <tableColumn id="4" xr3:uid="{00000000-0010-0000-0300-000004000000}" name="Tóm tắt"/>
    <tableColumn id="5" xr3:uid="{00000000-0010-0000-0300-000005000000}" name="Severity"/>
    <tableColumn id="6" xr3:uid="{00000000-0010-0000-0300-000006000000}" name="Priority"/>
    <tableColumn id="7" xr3:uid="{00000000-0010-0000-0300-000007000000}" name="Status"/>
    <tableColumn id="8" xr3:uid="{00000000-0010-0000-0300-000008000000}" name="Repro rate"/>
    <tableColumn id="9" xr3:uid="{00000000-0010-0000-0300-000009000000}" name="Môi trường"/>
    <tableColumn id="10" xr3:uid="{00000000-0010-0000-0300-00000A000000}" name="Bước tái hiện"/>
    <tableColumn id="11" xr3:uid="{00000000-0010-0000-0300-00000B000000}" name="Actual"/>
    <tableColumn id="12" xr3:uid="{00000000-0010-0000-0300-00000C000000}" name="Expected"/>
    <tableColumn id="13" xr3:uid="{00000000-0010-0000-0300-00000D000000}" name="Evidence"/>
    <tableColumn id="14" xr3:uid="{00000000-0010-0000-0300-00000E000000}" name="Owner"/>
    <tableColumn id="15" xr3:uid="{00000000-0010-0000-0300-00000F000000}" name="Target 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
  <sheetViews>
    <sheetView showGridLines="0" workbookViewId="0">
      <selection activeCell="B11" sqref="B11"/>
    </sheetView>
  </sheetViews>
  <sheetFormatPr defaultRowHeight="13.8"/>
  <cols>
    <col min="1" max="1" width="28" customWidth="1"/>
    <col min="2" max="2" width="22" customWidth="1"/>
    <col min="3" max="3" width="18" customWidth="1"/>
    <col min="4" max="4" width="14" customWidth="1"/>
    <col min="5" max="5" width="22" customWidth="1"/>
    <col min="6" max="6" width="16" customWidth="1"/>
    <col min="7" max="7" width="20" customWidth="1"/>
  </cols>
  <sheetData>
    <row r="1" spans="1:7" ht="34.049999999999997" customHeight="1">
      <c r="A1" s="20" t="s">
        <v>0</v>
      </c>
      <c r="B1" s="20" t="s">
        <v>0</v>
      </c>
      <c r="C1" s="20" t="s">
        <v>0</v>
      </c>
      <c r="D1" s="20" t="s">
        <v>0</v>
      </c>
      <c r="E1" s="20" t="s">
        <v>0</v>
      </c>
      <c r="F1" s="20" t="s">
        <v>0</v>
      </c>
      <c r="G1" s="20" t="s">
        <v>0</v>
      </c>
    </row>
    <row r="2" spans="1:7" ht="30" customHeight="1">
      <c r="A2" s="21" t="s">
        <v>1</v>
      </c>
      <c r="B2" s="21" t="s">
        <v>1</v>
      </c>
      <c r="C2" s="21" t="s">
        <v>1</v>
      </c>
      <c r="D2" s="21" t="s">
        <v>1</v>
      </c>
      <c r="E2" s="21" t="s">
        <v>1</v>
      </c>
      <c r="F2" s="21" t="s">
        <v>1</v>
      </c>
      <c r="G2" s="21" t="s">
        <v>1</v>
      </c>
    </row>
    <row r="4" spans="1:7" ht="15.6">
      <c r="A4" s="22" t="s">
        <v>2</v>
      </c>
      <c r="B4" s="22" t="s">
        <v>2</v>
      </c>
      <c r="C4" s="22" t="s">
        <v>2</v>
      </c>
      <c r="D4" s="22" t="s">
        <v>2</v>
      </c>
      <c r="E4" s="22" t="s">
        <v>2</v>
      </c>
      <c r="F4" s="22" t="s">
        <v>2</v>
      </c>
      <c r="G4" s="22" t="s">
        <v>2</v>
      </c>
    </row>
    <row r="5" spans="1:7" ht="31.95" customHeight="1">
      <c r="A5" s="1" t="s">
        <v>3</v>
      </c>
      <c r="B5" s="1" t="s">
        <v>4</v>
      </c>
      <c r="C5" s="1" t="s">
        <v>5</v>
      </c>
      <c r="D5" s="1" t="s">
        <v>6</v>
      </c>
      <c r="E5" s="1" t="s">
        <v>7</v>
      </c>
      <c r="F5" s="1" t="s">
        <v>8</v>
      </c>
      <c r="G5" s="1" t="s">
        <v>9</v>
      </c>
    </row>
    <row r="6" spans="1:7" ht="25.95" customHeight="1">
      <c r="A6" s="14" t="s">
        <v>10</v>
      </c>
      <c r="B6" s="14">
        <f>COUNTIF('Test Cases'!$G$7:$G$175,$A6)</f>
        <v>123</v>
      </c>
      <c r="C6" s="14">
        <f>COUNTIFS('Test Cases'!$G$7:$G$175,$A6,'Test Cases'!$O$7:$O$175,C$5)</f>
        <v>123</v>
      </c>
      <c r="D6" s="14">
        <f>COUNTIFS('Test Cases'!$G$7:$G$175,$A6,'Test Cases'!$O$7:$O$175,D$5)</f>
        <v>0</v>
      </c>
      <c r="E6" s="14">
        <f>COUNTIFS('Test Cases'!$G$7:$G$175,$A6,'Test Cases'!$O$7:$O$175,E$5)</f>
        <v>0</v>
      </c>
      <c r="F6" s="14">
        <f>COUNTIFS('Test Cases'!$G$7:$G$175,$A6,'Test Cases'!$O$7:$O$175,F$5)</f>
        <v>0</v>
      </c>
      <c r="G6" s="14">
        <f>COUNTIFS('Test Cases'!$G$7:$G$175,$A6,'Test Cases'!$O$7:$O$175,"Không áp dụng (Tương lai)")</f>
        <v>0</v>
      </c>
    </row>
    <row r="7" spans="1:7" ht="25.95" customHeight="1">
      <c r="A7" s="15" t="s">
        <v>11</v>
      </c>
      <c r="B7" s="15">
        <f>COUNTIF('Test Cases'!$G$7:$G$175,$A7)</f>
        <v>39</v>
      </c>
      <c r="C7" s="15">
        <f>COUNTIFS('Test Cases'!$G$7:$G$175,$A7,'Test Cases'!$O$7:$O$175,C$5)</f>
        <v>39</v>
      </c>
      <c r="D7" s="15">
        <f>COUNTIFS('Test Cases'!$G$7:$G$175,$A7,'Test Cases'!$O$7:$O$175,D$5)</f>
        <v>0</v>
      </c>
      <c r="E7" s="15">
        <f>COUNTIFS('Test Cases'!$G$7:$G$175,$A7,'Test Cases'!$O$7:$O$175,E$5)</f>
        <v>0</v>
      </c>
      <c r="F7" s="15">
        <f>COUNTIFS('Test Cases'!$G$7:$G$175,$A7,'Test Cases'!$O$7:$O$175,F$5)</f>
        <v>0</v>
      </c>
      <c r="G7" s="15">
        <f>COUNTIFS('Test Cases'!$G$7:$G$175,$A7,'Test Cases'!$O$7:$O$175,"Không áp dụng (Tương lai)")</f>
        <v>0</v>
      </c>
    </row>
    <row r="8" spans="1:7" ht="25.95" customHeight="1">
      <c r="A8" s="16" t="s">
        <v>12</v>
      </c>
      <c r="B8" s="16">
        <f>COUNTIF('Test Cases'!$G$7:$G$175,$A8)</f>
        <v>7</v>
      </c>
      <c r="C8" s="16">
        <f>COUNTIFS('Test Cases'!$G$7:$G$175,$A8,'Test Cases'!$O$7:$O$175,C$5)</f>
        <v>0</v>
      </c>
      <c r="D8" s="16">
        <f>COUNTIFS('Test Cases'!$G$7:$G$175,$A8,'Test Cases'!$O$7:$O$175,D$5)</f>
        <v>0</v>
      </c>
      <c r="E8" s="16">
        <f>COUNTIFS('Test Cases'!$G$7:$G$175,$A8,'Test Cases'!$O$7:$O$175,E$5)</f>
        <v>0</v>
      </c>
      <c r="F8" s="16">
        <f>COUNTIFS('Test Cases'!$G$7:$G$175,$A8,'Test Cases'!$O$7:$O$175,F$5)</f>
        <v>0</v>
      </c>
      <c r="G8" s="16">
        <f>COUNTIFS('Test Cases'!$G$7:$G$175,$A8,'Test Cases'!$O$7:$O$175,"Không áp dụng (Tương lai)")</f>
        <v>7</v>
      </c>
    </row>
    <row r="10" spans="1:7" ht="31.95" customHeight="1">
      <c r="A10" s="1" t="s">
        <v>13</v>
      </c>
      <c r="B10" s="1" t="s">
        <v>14</v>
      </c>
    </row>
    <row r="11" spans="1:7" ht="30" customHeight="1">
      <c r="A11" s="2" t="s">
        <v>15</v>
      </c>
      <c r="B11" s="2">
        <f>C6+E6+F6+G6</f>
        <v>123</v>
      </c>
    </row>
    <row r="12" spans="1:7" ht="30" customHeight="1">
      <c r="A12" s="3" t="s">
        <v>16</v>
      </c>
      <c r="B12" s="17">
        <f>IF(B6=0,0,(B6-C6-G6)/B6)</f>
        <v>0</v>
      </c>
    </row>
    <row r="13" spans="1:7" ht="30" customHeight="1">
      <c r="A13" s="3" t="s">
        <v>17</v>
      </c>
      <c r="B13" s="3" t="str">
        <f>'Cau hinh'!$B$20</f>
        <v>Không</v>
      </c>
    </row>
    <row r="14" spans="1:7" ht="30" customHeight="1">
      <c r="A14" s="3" t="s">
        <v>18</v>
      </c>
      <c r="B14" s="3">
        <f>'Cau hinh'!$B$21</f>
        <v>0</v>
      </c>
    </row>
    <row r="15" spans="1:7" ht="30" customHeight="1">
      <c r="A15" s="18" t="s">
        <v>19</v>
      </c>
      <c r="B15" s="19" t="str">
        <f>IF(B11=0,"GO - Tất cả P0 đã Đạt",IF(AND(B13="Có",B14&lt;&gt;""),"GO CÓ ĐIỀU KIỆN - Kiểm tra văn bản phê duyệt","NO-GO - Còn P0 chưa đóng"))</f>
        <v>NO-GO - Còn P0 chưa đóng</v>
      </c>
    </row>
    <row r="17" spans="1:7" ht="42" customHeight="1">
      <c r="A17" s="23" t="s">
        <v>20</v>
      </c>
      <c r="B17" s="23" t="s">
        <v>20</v>
      </c>
      <c r="C17" s="23" t="s">
        <v>20</v>
      </c>
      <c r="D17" s="23" t="s">
        <v>20</v>
      </c>
      <c r="E17" s="23" t="s">
        <v>20</v>
      </c>
      <c r="F17" s="23" t="s">
        <v>20</v>
      </c>
      <c r="G17" s="23" t="s">
        <v>20</v>
      </c>
    </row>
  </sheetData>
  <mergeCells count="4">
    <mergeCell ref="A1:G1"/>
    <mergeCell ref="A2:G2"/>
    <mergeCell ref="A4:G4"/>
    <mergeCell ref="A17:G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5"/>
  <sheetViews>
    <sheetView showGridLines="0" workbookViewId="0"/>
  </sheetViews>
  <sheetFormatPr defaultRowHeight="13.8"/>
  <cols>
    <col min="1" max="1" width="30" customWidth="1"/>
    <col min="2" max="2" width="42" customWidth="1"/>
    <col min="3" max="3" width="18" customWidth="1"/>
    <col min="4" max="4" width="55" customWidth="1"/>
  </cols>
  <sheetData>
    <row r="1" spans="1:4" ht="34.049999999999997" customHeight="1">
      <c r="A1" s="20" t="s">
        <v>21</v>
      </c>
      <c r="B1" s="20" t="s">
        <v>21</v>
      </c>
      <c r="C1" s="20" t="s">
        <v>21</v>
      </c>
      <c r="D1" s="20" t="s">
        <v>21</v>
      </c>
    </row>
    <row r="2" spans="1:4" ht="30" customHeight="1">
      <c r="A2" s="21" t="s">
        <v>22</v>
      </c>
      <c r="B2" s="21" t="s">
        <v>22</v>
      </c>
      <c r="C2" s="21" t="s">
        <v>22</v>
      </c>
      <c r="D2" s="21" t="s">
        <v>22</v>
      </c>
    </row>
    <row r="4" spans="1:4" ht="31.95" customHeight="1">
      <c r="A4" s="1" t="s">
        <v>23</v>
      </c>
      <c r="B4" s="1" t="s">
        <v>14</v>
      </c>
      <c r="C4" s="1" t="s">
        <v>24</v>
      </c>
      <c r="D4" s="1" t="s">
        <v>25</v>
      </c>
    </row>
    <row r="5" spans="1:4" ht="34.049999999999997" customHeight="1">
      <c r="A5" s="2" t="s">
        <v>26</v>
      </c>
      <c r="B5" s="4" t="s">
        <v>27</v>
      </c>
      <c r="C5" s="2" t="s">
        <v>28</v>
      </c>
      <c r="D5" s="2" t="s">
        <v>29</v>
      </c>
    </row>
    <row r="6" spans="1:4" ht="34.049999999999997" customHeight="1">
      <c r="A6" s="3" t="s">
        <v>30</v>
      </c>
      <c r="B6" s="5" t="s">
        <v>31</v>
      </c>
      <c r="C6" s="3" t="s">
        <v>28</v>
      </c>
      <c r="D6" s="3" t="s">
        <v>32</v>
      </c>
    </row>
    <row r="7" spans="1:4" ht="34.049999999999997" customHeight="1">
      <c r="A7" s="3" t="s">
        <v>33</v>
      </c>
      <c r="B7" s="5"/>
      <c r="C7" s="3" t="s">
        <v>28</v>
      </c>
      <c r="D7" s="3" t="s">
        <v>34</v>
      </c>
    </row>
    <row r="8" spans="1:4" ht="34.049999999999997" customHeight="1">
      <c r="A8" s="3" t="s">
        <v>35</v>
      </c>
      <c r="B8" s="5"/>
      <c r="C8" s="3" t="s">
        <v>28</v>
      </c>
      <c r="D8" s="3"/>
    </row>
    <row r="9" spans="1:4" ht="34.049999999999997" customHeight="1">
      <c r="A9" s="3" t="s">
        <v>36</v>
      </c>
      <c r="B9" s="5"/>
      <c r="C9" s="3" t="s">
        <v>28</v>
      </c>
      <c r="D9" s="3"/>
    </row>
    <row r="10" spans="1:4" ht="34.049999999999997" customHeight="1">
      <c r="A10" s="3" t="s">
        <v>37</v>
      </c>
      <c r="B10" s="5"/>
      <c r="C10" s="3" t="s">
        <v>28</v>
      </c>
      <c r="D10" s="3" t="s">
        <v>38</v>
      </c>
    </row>
    <row r="11" spans="1:4" ht="34.049999999999997" customHeight="1">
      <c r="A11" s="3" t="s">
        <v>39</v>
      </c>
      <c r="B11" s="5"/>
      <c r="C11" s="3" t="s">
        <v>40</v>
      </c>
      <c r="D11" s="3" t="s">
        <v>41</v>
      </c>
    </row>
    <row r="12" spans="1:4" ht="34.049999999999997" customHeight="1">
      <c r="A12" s="3" t="s">
        <v>42</v>
      </c>
      <c r="B12" s="5"/>
      <c r="C12" s="3" t="s">
        <v>28</v>
      </c>
      <c r="D12" s="3" t="s">
        <v>43</v>
      </c>
    </row>
    <row r="13" spans="1:4" ht="34.049999999999997" customHeight="1">
      <c r="A13" s="3" t="s">
        <v>44</v>
      </c>
      <c r="B13" s="5"/>
      <c r="C13" s="3" t="s">
        <v>28</v>
      </c>
      <c r="D13" s="3" t="s">
        <v>45</v>
      </c>
    </row>
    <row r="14" spans="1:4" ht="34.049999999999997" customHeight="1">
      <c r="A14" s="3" t="s">
        <v>46</v>
      </c>
      <c r="B14" s="5"/>
      <c r="C14" s="3" t="s">
        <v>47</v>
      </c>
      <c r="D14" s="3" t="s">
        <v>48</v>
      </c>
    </row>
    <row r="15" spans="1:4" ht="34.049999999999997" customHeight="1">
      <c r="A15" s="3" t="s">
        <v>49</v>
      </c>
      <c r="B15" s="5"/>
      <c r="C15" s="3" t="s">
        <v>28</v>
      </c>
      <c r="D15" s="3" t="s">
        <v>50</v>
      </c>
    </row>
    <row r="16" spans="1:4" ht="34.049999999999997" customHeight="1">
      <c r="A16" s="3" t="s">
        <v>51</v>
      </c>
      <c r="B16" s="5"/>
      <c r="C16" s="3" t="s">
        <v>28</v>
      </c>
      <c r="D16" s="3"/>
    </row>
    <row r="17" spans="1:4" ht="34.049999999999997" customHeight="1">
      <c r="A17" s="3" t="s">
        <v>52</v>
      </c>
      <c r="B17" s="5"/>
      <c r="C17" s="3" t="s">
        <v>28</v>
      </c>
      <c r="D17" s="3"/>
    </row>
    <row r="18" spans="1:4" ht="34.049999999999997" customHeight="1">
      <c r="A18" s="3" t="s">
        <v>53</v>
      </c>
      <c r="B18" s="5"/>
      <c r="C18" s="3" t="s">
        <v>54</v>
      </c>
      <c r="D18" s="3" t="s">
        <v>55</v>
      </c>
    </row>
    <row r="19" spans="1:4" ht="34.049999999999997" customHeight="1">
      <c r="A19" s="3" t="s">
        <v>56</v>
      </c>
      <c r="B19" s="5"/>
      <c r="C19" s="3" t="s">
        <v>28</v>
      </c>
      <c r="D19" s="3" t="s">
        <v>57</v>
      </c>
    </row>
    <row r="20" spans="1:4" ht="34.049999999999997" customHeight="1">
      <c r="A20" s="3" t="s">
        <v>58</v>
      </c>
      <c r="B20" s="5" t="s">
        <v>59</v>
      </c>
      <c r="C20" s="3" t="s">
        <v>28</v>
      </c>
      <c r="D20" s="3" t="s">
        <v>60</v>
      </c>
    </row>
    <row r="21" spans="1:4" ht="34.049999999999997" customHeight="1">
      <c r="A21" s="3" t="s">
        <v>61</v>
      </c>
      <c r="B21" s="5"/>
      <c r="C21" s="3" t="s">
        <v>62</v>
      </c>
      <c r="D21" s="3" t="s">
        <v>63</v>
      </c>
    </row>
    <row r="22" spans="1:4" ht="34.049999999999997" customHeight="1">
      <c r="A22" s="3" t="s">
        <v>64</v>
      </c>
      <c r="B22" s="5"/>
      <c r="C22" s="3" t="s">
        <v>65</v>
      </c>
      <c r="D22" s="3" t="s">
        <v>66</v>
      </c>
    </row>
    <row r="23" spans="1:4" ht="34.049999999999997" customHeight="1">
      <c r="A23" s="3" t="s">
        <v>67</v>
      </c>
      <c r="B23" s="5"/>
      <c r="C23" s="3" t="s">
        <v>65</v>
      </c>
      <c r="D23" s="3" t="s">
        <v>68</v>
      </c>
    </row>
    <row r="24" spans="1:4" ht="34.049999999999997" customHeight="1">
      <c r="A24" s="3" t="s">
        <v>69</v>
      </c>
      <c r="B24" s="5"/>
      <c r="C24" s="3" t="s">
        <v>65</v>
      </c>
      <c r="D24" s="3" t="s">
        <v>70</v>
      </c>
    </row>
    <row r="25" spans="1:4" ht="34.049999999999997" customHeight="1">
      <c r="A25" s="3" t="s">
        <v>71</v>
      </c>
      <c r="B25" s="5"/>
      <c r="C25" s="3" t="s">
        <v>65</v>
      </c>
      <c r="D25" s="3" t="s">
        <v>72</v>
      </c>
    </row>
  </sheetData>
  <mergeCells count="2">
    <mergeCell ref="A1:D1"/>
    <mergeCell ref="A2:D2"/>
  </mergeCells>
  <dataValidations count="1">
    <dataValidation type="list" sqref="B20" xr:uid="{00000000-0002-0000-0100-000000000000}">
      <formula1>"Không,Có"</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2"/>
  <sheetViews>
    <sheetView showGridLines="0" topLeftCell="A10" workbookViewId="0">
      <selection activeCell="C18" sqref="C18"/>
    </sheetView>
  </sheetViews>
  <sheetFormatPr defaultRowHeight="13.8"/>
  <cols>
    <col min="1" max="1" width="16" customWidth="1"/>
    <col min="2" max="2" width="35" customWidth="1"/>
    <col min="3" max="3" width="62" customWidth="1"/>
    <col min="4" max="4" width="15" customWidth="1"/>
    <col min="5" max="5" width="62" customWidth="1"/>
    <col min="6" max="6" width="24" customWidth="1"/>
  </cols>
  <sheetData>
    <row r="1" spans="1:6" ht="34.049999999999997" customHeight="1">
      <c r="A1" s="20" t="s">
        <v>73</v>
      </c>
      <c r="B1" s="20" t="s">
        <v>73</v>
      </c>
      <c r="C1" s="20" t="s">
        <v>73</v>
      </c>
      <c r="D1" s="20" t="s">
        <v>73</v>
      </c>
      <c r="E1" s="20" t="s">
        <v>73</v>
      </c>
      <c r="F1" s="20" t="s">
        <v>73</v>
      </c>
    </row>
    <row r="2" spans="1:6" ht="30" customHeight="1">
      <c r="A2" s="21" t="s">
        <v>74</v>
      </c>
      <c r="B2" s="21" t="s">
        <v>74</v>
      </c>
      <c r="C2" s="21" t="s">
        <v>74</v>
      </c>
      <c r="D2" s="21" t="s">
        <v>74</v>
      </c>
      <c r="E2" s="21" t="s">
        <v>74</v>
      </c>
      <c r="F2" s="21" t="s">
        <v>74</v>
      </c>
    </row>
    <row r="4" spans="1:6" ht="31.95" customHeight="1">
      <c r="A4" s="1" t="s">
        <v>75</v>
      </c>
      <c r="B4" s="1" t="s">
        <v>76</v>
      </c>
    </row>
    <row r="5" spans="1:6" ht="42" customHeight="1">
      <c r="A5" s="2" t="s">
        <v>77</v>
      </c>
      <c r="B5" s="2" t="s">
        <v>78</v>
      </c>
    </row>
    <row r="6" spans="1:6" ht="42" customHeight="1">
      <c r="A6" s="3" t="s">
        <v>79</v>
      </c>
      <c r="B6" s="3" t="s">
        <v>80</v>
      </c>
    </row>
    <row r="7" spans="1:6" ht="42" customHeight="1">
      <c r="A7" s="3" t="s">
        <v>81</v>
      </c>
      <c r="B7" s="3" t="s">
        <v>82</v>
      </c>
    </row>
    <row r="8" spans="1:6" ht="42" customHeight="1">
      <c r="A8" s="3" t="s">
        <v>83</v>
      </c>
      <c r="B8" s="3" t="s">
        <v>84</v>
      </c>
    </row>
    <row r="9" spans="1:6" ht="42" customHeight="1">
      <c r="A9" s="3" t="s">
        <v>85</v>
      </c>
      <c r="B9" s="3" t="s">
        <v>86</v>
      </c>
    </row>
    <row r="10" spans="1:6" ht="42" customHeight="1">
      <c r="A10" s="3" t="s">
        <v>87</v>
      </c>
      <c r="B10" s="3" t="s">
        <v>88</v>
      </c>
    </row>
    <row r="12" spans="1:6" ht="31.95" customHeight="1">
      <c r="A12" s="1" t="s">
        <v>89</v>
      </c>
      <c r="B12" s="1" t="s">
        <v>90</v>
      </c>
      <c r="C12" s="1" t="s">
        <v>91</v>
      </c>
      <c r="D12" s="1" t="s">
        <v>3</v>
      </c>
      <c r="E12" s="1" t="s">
        <v>92</v>
      </c>
      <c r="F12" s="1" t="s">
        <v>93</v>
      </c>
    </row>
    <row r="13" spans="1:6" ht="58.05" customHeight="1">
      <c r="A13" s="2" t="s">
        <v>94</v>
      </c>
      <c r="B13" s="2" t="s">
        <v>95</v>
      </c>
      <c r="C13" s="2" t="s">
        <v>96</v>
      </c>
      <c r="D13" s="2" t="s">
        <v>10</v>
      </c>
      <c r="E13" s="2" t="s">
        <v>97</v>
      </c>
      <c r="F13" s="2" t="s">
        <v>98</v>
      </c>
    </row>
    <row r="14" spans="1:6" ht="58.05" customHeight="1">
      <c r="A14" s="3" t="s">
        <v>99</v>
      </c>
      <c r="B14" s="3" t="s">
        <v>100</v>
      </c>
      <c r="C14" s="3" t="s">
        <v>101</v>
      </c>
      <c r="D14" s="3" t="s">
        <v>10</v>
      </c>
      <c r="E14" s="3" t="s">
        <v>102</v>
      </c>
      <c r="F14" s="3" t="s">
        <v>103</v>
      </c>
    </row>
    <row r="15" spans="1:6" ht="58.05" customHeight="1">
      <c r="A15" s="3" t="s">
        <v>104</v>
      </c>
      <c r="B15" s="3" t="s">
        <v>105</v>
      </c>
      <c r="C15" s="3" t="s">
        <v>106</v>
      </c>
      <c r="D15" s="3" t="s">
        <v>10</v>
      </c>
      <c r="E15" s="3" t="s">
        <v>107</v>
      </c>
      <c r="F15" s="3" t="s">
        <v>98</v>
      </c>
    </row>
    <row r="16" spans="1:6" ht="58.05" customHeight="1">
      <c r="A16" s="3" t="s">
        <v>108</v>
      </c>
      <c r="B16" s="3" t="s">
        <v>109</v>
      </c>
      <c r="C16" s="3" t="s">
        <v>110</v>
      </c>
      <c r="D16" s="3" t="s">
        <v>10</v>
      </c>
      <c r="E16" s="3" t="s">
        <v>111</v>
      </c>
      <c r="F16" s="3" t="s">
        <v>98</v>
      </c>
    </row>
    <row r="17" spans="1:6" ht="58.05" customHeight="1">
      <c r="A17" s="3" t="s">
        <v>112</v>
      </c>
      <c r="B17" s="3" t="s">
        <v>113</v>
      </c>
      <c r="C17" s="3" t="s">
        <v>114</v>
      </c>
      <c r="D17" s="3" t="s">
        <v>10</v>
      </c>
      <c r="E17" s="3" t="s">
        <v>115</v>
      </c>
      <c r="F17" s="3" t="s">
        <v>98</v>
      </c>
    </row>
    <row r="18" spans="1:6" ht="58.05" customHeight="1">
      <c r="A18" s="3" t="s">
        <v>116</v>
      </c>
      <c r="B18" s="3" t="s">
        <v>117</v>
      </c>
      <c r="C18" s="3" t="s">
        <v>118</v>
      </c>
      <c r="D18" s="3" t="s">
        <v>10</v>
      </c>
      <c r="E18" s="3" t="s">
        <v>119</v>
      </c>
      <c r="F18" s="3" t="s">
        <v>98</v>
      </c>
    </row>
    <row r="19" spans="1:6" ht="58.05" customHeight="1">
      <c r="A19" s="3" t="s">
        <v>120</v>
      </c>
      <c r="B19" s="3" t="s">
        <v>121</v>
      </c>
      <c r="C19" s="3" t="s">
        <v>122</v>
      </c>
      <c r="D19" s="3" t="s">
        <v>10</v>
      </c>
      <c r="E19" s="3" t="s">
        <v>123</v>
      </c>
      <c r="F19" s="3" t="s">
        <v>98</v>
      </c>
    </row>
    <row r="20" spans="1:6" ht="58.05" customHeight="1">
      <c r="A20" s="3" t="s">
        <v>124</v>
      </c>
      <c r="B20" s="3" t="s">
        <v>125</v>
      </c>
      <c r="C20" s="3" t="s">
        <v>126</v>
      </c>
      <c r="D20" s="3" t="s">
        <v>10</v>
      </c>
      <c r="E20" s="3" t="s">
        <v>127</v>
      </c>
      <c r="F20" s="3" t="s">
        <v>98</v>
      </c>
    </row>
    <row r="21" spans="1:6" ht="58.05" customHeight="1">
      <c r="A21" s="3" t="s">
        <v>128</v>
      </c>
      <c r="B21" s="3" t="s">
        <v>129</v>
      </c>
      <c r="C21" s="3" t="s">
        <v>130</v>
      </c>
      <c r="D21" s="3" t="s">
        <v>11</v>
      </c>
      <c r="E21" s="3" t="s">
        <v>131</v>
      </c>
      <c r="F21" s="3" t="s">
        <v>98</v>
      </c>
    </row>
    <row r="22" spans="1:6" ht="58.05" customHeight="1">
      <c r="A22" s="3" t="s">
        <v>132</v>
      </c>
      <c r="B22" s="3" t="s">
        <v>133</v>
      </c>
      <c r="C22" s="3" t="s">
        <v>134</v>
      </c>
      <c r="D22" s="3" t="s">
        <v>10</v>
      </c>
      <c r="E22" s="3" t="s">
        <v>135</v>
      </c>
      <c r="F22" s="3" t="s">
        <v>98</v>
      </c>
    </row>
    <row r="23" spans="1:6" ht="58.05" customHeight="1">
      <c r="A23" s="3" t="s">
        <v>136</v>
      </c>
      <c r="B23" s="3" t="s">
        <v>137</v>
      </c>
      <c r="C23" s="3" t="s">
        <v>138</v>
      </c>
      <c r="D23" s="3" t="s">
        <v>11</v>
      </c>
      <c r="E23" s="3" t="s">
        <v>139</v>
      </c>
      <c r="F23" s="3" t="s">
        <v>98</v>
      </c>
    </row>
    <row r="24" spans="1:6" ht="58.05" customHeight="1">
      <c r="A24" s="3" t="s">
        <v>140</v>
      </c>
      <c r="B24" s="3" t="s">
        <v>141</v>
      </c>
      <c r="C24" s="3" t="s">
        <v>142</v>
      </c>
      <c r="D24" s="3" t="s">
        <v>10</v>
      </c>
      <c r="E24" s="3" t="s">
        <v>143</v>
      </c>
      <c r="F24" s="3" t="s">
        <v>98</v>
      </c>
    </row>
    <row r="26" spans="1:6" ht="15.6">
      <c r="A26" s="22" t="s">
        <v>144</v>
      </c>
      <c r="B26" s="22" t="s">
        <v>144</v>
      </c>
      <c r="C26" s="22" t="s">
        <v>144</v>
      </c>
      <c r="D26" s="22" t="s">
        <v>144</v>
      </c>
      <c r="E26" s="22" t="s">
        <v>144</v>
      </c>
      <c r="F26" s="22" t="s">
        <v>144</v>
      </c>
    </row>
    <row r="27" spans="1:6" ht="43.95" customHeight="1">
      <c r="A27" s="2" t="s">
        <v>145</v>
      </c>
      <c r="B27" s="2" t="s">
        <v>146</v>
      </c>
      <c r="C27" s="2" t="s">
        <v>147</v>
      </c>
      <c r="D27" s="2" t="s">
        <v>10</v>
      </c>
      <c r="E27" s="2" t="s">
        <v>148</v>
      </c>
    </row>
    <row r="28" spans="1:6" ht="43.95" customHeight="1">
      <c r="A28" s="3" t="s">
        <v>149</v>
      </c>
      <c r="B28" s="3" t="s">
        <v>150</v>
      </c>
      <c r="C28" s="3" t="s">
        <v>151</v>
      </c>
      <c r="D28" s="3" t="s">
        <v>10</v>
      </c>
      <c r="E28" s="3" t="s">
        <v>152</v>
      </c>
    </row>
    <row r="29" spans="1:6" ht="43.95" customHeight="1">
      <c r="A29" s="3" t="s">
        <v>153</v>
      </c>
      <c r="B29" s="3" t="s">
        <v>154</v>
      </c>
      <c r="C29" s="3" t="s">
        <v>155</v>
      </c>
      <c r="D29" s="3" t="s">
        <v>156</v>
      </c>
      <c r="E29" s="3" t="s">
        <v>157</v>
      </c>
    </row>
    <row r="30" spans="1:6" ht="43.95" customHeight="1">
      <c r="A30" s="3" t="s">
        <v>158</v>
      </c>
      <c r="B30" s="3" t="s">
        <v>159</v>
      </c>
      <c r="C30" s="3" t="s">
        <v>160</v>
      </c>
      <c r="D30" s="3" t="s">
        <v>156</v>
      </c>
      <c r="E30" s="3" t="s">
        <v>161</v>
      </c>
    </row>
    <row r="31" spans="1:6" ht="43.95" customHeight="1">
      <c r="A31" s="3" t="s">
        <v>162</v>
      </c>
      <c r="B31" s="3" t="s">
        <v>163</v>
      </c>
      <c r="C31" s="3" t="s">
        <v>164</v>
      </c>
      <c r="D31" s="3" t="s">
        <v>156</v>
      </c>
      <c r="E31" s="3" t="s">
        <v>165</v>
      </c>
    </row>
    <row r="32" spans="1:6" ht="43.95" customHeight="1">
      <c r="A32" s="3" t="s">
        <v>166</v>
      </c>
      <c r="B32" s="3" t="s">
        <v>167</v>
      </c>
      <c r="C32" s="3" t="s">
        <v>168</v>
      </c>
      <c r="D32" s="3" t="s">
        <v>169</v>
      </c>
      <c r="E32" s="3" t="s">
        <v>170</v>
      </c>
    </row>
  </sheetData>
  <mergeCells count="3">
    <mergeCell ref="A1:F1"/>
    <mergeCell ref="A2:F2"/>
    <mergeCell ref="A26:F26"/>
  </mergeCells>
  <conditionalFormatting sqref="D13:D24">
    <cfRule type="expression" dxfId="11" priority="1">
      <formula>$D13="P0"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75"/>
  <sheetViews>
    <sheetView showGridLines="0" topLeftCell="A43" workbookViewId="0">
      <selection activeCell="E48" sqref="E48"/>
    </sheetView>
  </sheetViews>
  <sheetFormatPr defaultRowHeight="13.8"/>
  <cols>
    <col min="1" max="1" width="6" customWidth="1"/>
    <col min="2" max="2" width="16" customWidth="1"/>
    <col min="3" max="3" width="18" customWidth="1"/>
    <col min="4" max="4" width="24.09765625" customWidth="1"/>
    <col min="5" max="5" width="22" customWidth="1"/>
    <col min="6" max="6" width="38" customWidth="1"/>
    <col min="7" max="7" width="10" customWidth="1"/>
    <col min="8" max="8" width="22" customWidth="1"/>
    <col min="9" max="9" width="16" customWidth="1"/>
    <col min="10" max="10" width="24" customWidth="1"/>
    <col min="11" max="11" width="48" customWidth="1"/>
    <col min="12" max="12" width="42" customWidth="1"/>
    <col min="13" max="13" width="70" customWidth="1"/>
    <col min="14" max="14" width="66" customWidth="1"/>
    <col min="15" max="15" width="24" customWidth="1"/>
    <col min="16" max="16" width="16" customWidth="1"/>
    <col min="17" max="17" width="28" customWidth="1"/>
    <col min="18" max="18" width="50" customWidth="1"/>
    <col min="19" max="19" width="16" customWidth="1"/>
    <col min="20" max="20" width="13" customWidth="1"/>
    <col min="21" max="21" width="46" customWidth="1"/>
  </cols>
  <sheetData>
    <row r="1" spans="1:21" ht="34.049999999999997" customHeight="1">
      <c r="A1" s="20" t="s">
        <v>171</v>
      </c>
      <c r="B1" s="20" t="s">
        <v>171</v>
      </c>
      <c r="C1" s="20" t="s">
        <v>171</v>
      </c>
      <c r="D1" s="20" t="s">
        <v>171</v>
      </c>
      <c r="E1" s="20" t="s">
        <v>171</v>
      </c>
      <c r="F1" s="20" t="s">
        <v>171</v>
      </c>
      <c r="G1" s="20" t="s">
        <v>171</v>
      </c>
      <c r="H1" s="20" t="s">
        <v>171</v>
      </c>
      <c r="I1" s="20" t="s">
        <v>171</v>
      </c>
      <c r="J1" s="20" t="s">
        <v>171</v>
      </c>
      <c r="K1" s="20" t="s">
        <v>171</v>
      </c>
      <c r="L1" s="20" t="s">
        <v>171</v>
      </c>
      <c r="M1" s="20" t="s">
        <v>171</v>
      </c>
      <c r="N1" s="20" t="s">
        <v>171</v>
      </c>
      <c r="O1" s="20" t="s">
        <v>171</v>
      </c>
      <c r="P1" s="20" t="s">
        <v>171</v>
      </c>
      <c r="Q1" s="20" t="s">
        <v>171</v>
      </c>
      <c r="R1" s="20" t="s">
        <v>171</v>
      </c>
      <c r="S1" s="20" t="s">
        <v>171</v>
      </c>
      <c r="T1" s="20" t="s">
        <v>171</v>
      </c>
      <c r="U1" s="20" t="s">
        <v>171</v>
      </c>
    </row>
    <row r="2" spans="1:21" ht="30" customHeight="1">
      <c r="A2" s="21" t="s">
        <v>172</v>
      </c>
      <c r="B2" s="21" t="s">
        <v>172</v>
      </c>
      <c r="C2" s="21" t="s">
        <v>172</v>
      </c>
      <c r="D2" s="21" t="s">
        <v>172</v>
      </c>
      <c r="E2" s="21" t="s">
        <v>172</v>
      </c>
      <c r="F2" s="21" t="s">
        <v>172</v>
      </c>
      <c r="G2" s="21" t="s">
        <v>172</v>
      </c>
      <c r="H2" s="21" t="s">
        <v>172</v>
      </c>
      <c r="I2" s="21" t="s">
        <v>172</v>
      </c>
      <c r="J2" s="21" t="s">
        <v>172</v>
      </c>
      <c r="K2" s="21" t="s">
        <v>172</v>
      </c>
      <c r="L2" s="21" t="s">
        <v>172</v>
      </c>
      <c r="M2" s="21" t="s">
        <v>172</v>
      </c>
      <c r="N2" s="21" t="s">
        <v>172</v>
      </c>
      <c r="O2" s="21" t="s">
        <v>172</v>
      </c>
      <c r="P2" s="21" t="s">
        <v>172</v>
      </c>
      <c r="Q2" s="21" t="s">
        <v>172</v>
      </c>
      <c r="R2" s="21" t="s">
        <v>172</v>
      </c>
      <c r="S2" s="21" t="s">
        <v>172</v>
      </c>
      <c r="T2" s="21" t="s">
        <v>172</v>
      </c>
      <c r="U2" s="21" t="s">
        <v>172</v>
      </c>
    </row>
    <row r="4" spans="1:21" ht="28.05" customHeight="1">
      <c r="A4" s="24" t="s">
        <v>173</v>
      </c>
      <c r="B4" s="24" t="s">
        <v>173</v>
      </c>
      <c r="C4" s="24" t="s">
        <v>173</v>
      </c>
      <c r="D4" s="24" t="s">
        <v>173</v>
      </c>
      <c r="E4" s="24" t="s">
        <v>173</v>
      </c>
      <c r="F4" s="24" t="s">
        <v>173</v>
      </c>
      <c r="G4" s="24" t="s">
        <v>173</v>
      </c>
      <c r="H4" s="24" t="s">
        <v>173</v>
      </c>
      <c r="I4" s="24" t="s">
        <v>173</v>
      </c>
      <c r="J4" s="24" t="s">
        <v>173</v>
      </c>
      <c r="K4" s="24" t="s">
        <v>173</v>
      </c>
      <c r="L4" s="24" t="s">
        <v>173</v>
      </c>
      <c r="M4" s="24" t="s">
        <v>173</v>
      </c>
      <c r="N4" s="24" t="s">
        <v>173</v>
      </c>
      <c r="O4" s="24" t="s">
        <v>173</v>
      </c>
      <c r="P4" s="24" t="s">
        <v>173</v>
      </c>
      <c r="Q4" s="24" t="s">
        <v>173</v>
      </c>
      <c r="R4" s="24" t="s">
        <v>173</v>
      </c>
      <c r="S4" s="24" t="s">
        <v>173</v>
      </c>
      <c r="T4" s="24" t="s">
        <v>173</v>
      </c>
      <c r="U4" s="24" t="s">
        <v>173</v>
      </c>
    </row>
    <row r="6" spans="1:21" ht="31.95" customHeight="1">
      <c r="A6" s="1" t="s">
        <v>174</v>
      </c>
      <c r="B6" s="1" t="s">
        <v>175</v>
      </c>
      <c r="C6" s="1" t="s">
        <v>176</v>
      </c>
      <c r="D6" s="1" t="s">
        <v>177</v>
      </c>
      <c r="E6" s="1" t="s">
        <v>178</v>
      </c>
      <c r="F6" s="1" t="s">
        <v>179</v>
      </c>
      <c r="G6" s="1" t="s">
        <v>3</v>
      </c>
      <c r="H6" s="1" t="s">
        <v>180</v>
      </c>
      <c r="I6" s="1" t="s">
        <v>181</v>
      </c>
      <c r="J6" s="1" t="s">
        <v>182</v>
      </c>
      <c r="K6" s="1" t="s">
        <v>183</v>
      </c>
      <c r="L6" s="1" t="s">
        <v>184</v>
      </c>
      <c r="M6" s="1" t="s">
        <v>185</v>
      </c>
      <c r="N6" s="1" t="s">
        <v>186</v>
      </c>
      <c r="O6" s="1" t="s">
        <v>187</v>
      </c>
      <c r="P6" s="1" t="s">
        <v>188</v>
      </c>
      <c r="Q6" s="1" t="s">
        <v>189</v>
      </c>
      <c r="R6" s="1" t="s">
        <v>190</v>
      </c>
      <c r="S6" s="1" t="s">
        <v>191</v>
      </c>
      <c r="T6" s="1" t="s">
        <v>192</v>
      </c>
      <c r="U6" s="1" t="s">
        <v>25</v>
      </c>
    </row>
    <row r="7" spans="1:21" ht="72" customHeight="1">
      <c r="A7" s="6">
        <v>1</v>
      </c>
      <c r="B7" s="6" t="s">
        <v>193</v>
      </c>
      <c r="C7" s="6" t="s">
        <v>194</v>
      </c>
      <c r="D7" s="6" t="s">
        <v>195</v>
      </c>
      <c r="E7" s="2" t="s">
        <v>196</v>
      </c>
      <c r="F7" s="2" t="s">
        <v>197</v>
      </c>
      <c r="G7" s="8" t="s">
        <v>10</v>
      </c>
      <c r="H7" s="8" t="s">
        <v>198</v>
      </c>
      <c r="I7" s="8" t="s">
        <v>199</v>
      </c>
      <c r="J7" s="8" t="s">
        <v>200</v>
      </c>
      <c r="K7" s="2" t="s">
        <v>201</v>
      </c>
      <c r="L7" s="2" t="s">
        <v>202</v>
      </c>
      <c r="M7" s="2" t="s">
        <v>203</v>
      </c>
      <c r="N7" s="2" t="s">
        <v>204</v>
      </c>
      <c r="O7" s="4" t="s">
        <v>5</v>
      </c>
      <c r="P7" s="4"/>
      <c r="Q7" s="4"/>
      <c r="R7" s="10"/>
      <c r="S7" s="10"/>
      <c r="T7" s="12"/>
      <c r="U7" s="10" t="s">
        <v>205</v>
      </c>
    </row>
    <row r="8" spans="1:21" ht="72" customHeight="1">
      <c r="A8" s="7">
        <v>2</v>
      </c>
      <c r="B8" s="7" t="s">
        <v>206</v>
      </c>
      <c r="C8" s="7" t="s">
        <v>207</v>
      </c>
      <c r="D8" s="7" t="s">
        <v>195</v>
      </c>
      <c r="E8" s="3" t="s">
        <v>196</v>
      </c>
      <c r="F8" s="3" t="s">
        <v>208</v>
      </c>
      <c r="G8" s="9" t="s">
        <v>10</v>
      </c>
      <c r="H8" s="9" t="s">
        <v>198</v>
      </c>
      <c r="I8" s="9" t="s">
        <v>199</v>
      </c>
      <c r="J8" s="9" t="s">
        <v>200</v>
      </c>
      <c r="K8" s="3" t="s">
        <v>201</v>
      </c>
      <c r="L8" s="3" t="s">
        <v>202</v>
      </c>
      <c r="M8" s="3" t="s">
        <v>209</v>
      </c>
      <c r="N8" s="3" t="s">
        <v>210</v>
      </c>
      <c r="O8" s="5" t="s">
        <v>5</v>
      </c>
      <c r="P8" s="5"/>
      <c r="Q8" s="5"/>
      <c r="R8" s="11"/>
      <c r="S8" s="11"/>
      <c r="T8" s="13"/>
      <c r="U8" s="11" t="s">
        <v>211</v>
      </c>
    </row>
    <row r="9" spans="1:21" ht="72" customHeight="1">
      <c r="A9" s="7">
        <v>3</v>
      </c>
      <c r="B9" s="7" t="s">
        <v>212</v>
      </c>
      <c r="C9" s="7" t="s">
        <v>213</v>
      </c>
      <c r="D9" s="7" t="s">
        <v>195</v>
      </c>
      <c r="E9" s="3" t="s">
        <v>196</v>
      </c>
      <c r="F9" s="3" t="s">
        <v>214</v>
      </c>
      <c r="G9" s="9" t="s">
        <v>10</v>
      </c>
      <c r="H9" s="9" t="s">
        <v>198</v>
      </c>
      <c r="I9" s="9" t="s">
        <v>199</v>
      </c>
      <c r="J9" s="9" t="s">
        <v>200</v>
      </c>
      <c r="K9" s="3" t="s">
        <v>201</v>
      </c>
      <c r="L9" s="3" t="s">
        <v>202</v>
      </c>
      <c r="M9" s="3" t="s">
        <v>215</v>
      </c>
      <c r="N9" s="3" t="s">
        <v>216</v>
      </c>
      <c r="O9" s="5" t="s">
        <v>5</v>
      </c>
      <c r="P9" s="5"/>
      <c r="Q9" s="5"/>
      <c r="R9" s="11"/>
      <c r="S9" s="11"/>
      <c r="T9" s="13"/>
      <c r="U9" s="11" t="s">
        <v>217</v>
      </c>
    </row>
    <row r="10" spans="1:21" ht="72" customHeight="1">
      <c r="A10" s="7">
        <v>4</v>
      </c>
      <c r="B10" s="7" t="s">
        <v>218</v>
      </c>
      <c r="C10" s="7" t="s">
        <v>219</v>
      </c>
      <c r="D10" s="7" t="s">
        <v>195</v>
      </c>
      <c r="E10" s="3" t="s">
        <v>196</v>
      </c>
      <c r="F10" s="3" t="s">
        <v>220</v>
      </c>
      <c r="G10" s="9" t="s">
        <v>12</v>
      </c>
      <c r="H10" s="9" t="s">
        <v>198</v>
      </c>
      <c r="I10" s="9" t="s">
        <v>221</v>
      </c>
      <c r="J10" s="9" t="s">
        <v>200</v>
      </c>
      <c r="K10" s="3" t="s">
        <v>201</v>
      </c>
      <c r="L10" s="3" t="s">
        <v>202</v>
      </c>
      <c r="M10" s="3" t="s">
        <v>222</v>
      </c>
      <c r="N10" s="3" t="s">
        <v>223</v>
      </c>
      <c r="O10" s="5" t="s">
        <v>224</v>
      </c>
      <c r="P10" s="5"/>
      <c r="Q10" s="5"/>
      <c r="R10" s="11"/>
      <c r="S10" s="11"/>
      <c r="T10" s="13"/>
      <c r="U10" s="11" t="s">
        <v>225</v>
      </c>
    </row>
    <row r="11" spans="1:21" ht="72" customHeight="1">
      <c r="A11" s="7">
        <v>5</v>
      </c>
      <c r="B11" s="7" t="s">
        <v>226</v>
      </c>
      <c r="C11" s="7" t="s">
        <v>227</v>
      </c>
      <c r="D11" s="7" t="s">
        <v>228</v>
      </c>
      <c r="E11" s="3" t="s">
        <v>229</v>
      </c>
      <c r="F11" s="3" t="s">
        <v>230</v>
      </c>
      <c r="G11" s="9" t="s">
        <v>10</v>
      </c>
      <c r="H11" s="9" t="s">
        <v>231</v>
      </c>
      <c r="I11" s="9" t="s">
        <v>199</v>
      </c>
      <c r="J11" s="9" t="s">
        <v>232</v>
      </c>
      <c r="K11" s="3" t="s">
        <v>233</v>
      </c>
      <c r="L11" s="3" t="s">
        <v>234</v>
      </c>
      <c r="M11" s="3" t="s">
        <v>235</v>
      </c>
      <c r="N11" s="3" t="s">
        <v>236</v>
      </c>
      <c r="O11" s="5" t="s">
        <v>5</v>
      </c>
      <c r="P11" s="5"/>
      <c r="Q11" s="5"/>
      <c r="R11" s="11"/>
      <c r="S11" s="11"/>
      <c r="T11" s="13"/>
      <c r="U11" s="11" t="s">
        <v>237</v>
      </c>
    </row>
    <row r="12" spans="1:21" ht="72" customHeight="1">
      <c r="A12" s="7">
        <v>6</v>
      </c>
      <c r="B12" s="7" t="s">
        <v>238</v>
      </c>
      <c r="C12" s="7" t="s">
        <v>239</v>
      </c>
      <c r="D12" s="7" t="s">
        <v>240</v>
      </c>
      <c r="E12" s="3" t="s">
        <v>229</v>
      </c>
      <c r="F12" s="3" t="s">
        <v>241</v>
      </c>
      <c r="G12" s="9" t="s">
        <v>10</v>
      </c>
      <c r="H12" s="9" t="s">
        <v>231</v>
      </c>
      <c r="I12" s="9" t="s">
        <v>199</v>
      </c>
      <c r="J12" s="9" t="s">
        <v>232</v>
      </c>
      <c r="K12" s="3" t="s">
        <v>233</v>
      </c>
      <c r="L12" s="3" t="s">
        <v>234</v>
      </c>
      <c r="M12" s="3" t="s">
        <v>242</v>
      </c>
      <c r="N12" s="3" t="s">
        <v>243</v>
      </c>
      <c r="O12" s="5" t="s">
        <v>5</v>
      </c>
      <c r="P12" s="5"/>
      <c r="Q12" s="5"/>
      <c r="R12" s="11"/>
      <c r="S12" s="11"/>
      <c r="T12" s="13"/>
      <c r="U12" s="11" t="s">
        <v>244</v>
      </c>
    </row>
    <row r="13" spans="1:21" ht="72" customHeight="1">
      <c r="A13" s="7">
        <v>7</v>
      </c>
      <c r="B13" s="7" t="s">
        <v>245</v>
      </c>
      <c r="C13" s="7" t="s">
        <v>246</v>
      </c>
      <c r="D13" s="7" t="s">
        <v>247</v>
      </c>
      <c r="E13" s="3" t="s">
        <v>229</v>
      </c>
      <c r="F13" s="3" t="s">
        <v>248</v>
      </c>
      <c r="G13" s="9" t="s">
        <v>10</v>
      </c>
      <c r="H13" s="9" t="s">
        <v>249</v>
      </c>
      <c r="I13" s="9" t="s">
        <v>199</v>
      </c>
      <c r="J13" s="9" t="s">
        <v>232</v>
      </c>
      <c r="K13" s="3" t="s">
        <v>233</v>
      </c>
      <c r="L13" s="3" t="s">
        <v>234</v>
      </c>
      <c r="M13" s="3" t="s">
        <v>250</v>
      </c>
      <c r="N13" s="3" t="s">
        <v>251</v>
      </c>
      <c r="O13" s="5" t="s">
        <v>5</v>
      </c>
      <c r="P13" s="5"/>
      <c r="Q13" s="5"/>
      <c r="R13" s="11"/>
      <c r="S13" s="11"/>
      <c r="T13" s="13"/>
      <c r="U13" s="11" t="s">
        <v>252</v>
      </c>
    </row>
    <row r="14" spans="1:21" ht="72" customHeight="1">
      <c r="A14" s="7">
        <v>8</v>
      </c>
      <c r="B14" s="7" t="s">
        <v>253</v>
      </c>
      <c r="C14" s="7" t="s">
        <v>254</v>
      </c>
      <c r="D14" s="7" t="s">
        <v>255</v>
      </c>
      <c r="E14" s="3" t="s">
        <v>229</v>
      </c>
      <c r="F14" s="3" t="s">
        <v>256</v>
      </c>
      <c r="G14" s="9" t="s">
        <v>10</v>
      </c>
      <c r="H14" s="9" t="s">
        <v>249</v>
      </c>
      <c r="I14" s="9" t="s">
        <v>199</v>
      </c>
      <c r="J14" s="9" t="s">
        <v>232</v>
      </c>
      <c r="K14" s="3" t="s">
        <v>233</v>
      </c>
      <c r="L14" s="3" t="s">
        <v>234</v>
      </c>
      <c r="M14" s="3" t="s">
        <v>257</v>
      </c>
      <c r="N14" s="3" t="s">
        <v>258</v>
      </c>
      <c r="O14" s="5" t="s">
        <v>5</v>
      </c>
      <c r="P14" s="5"/>
      <c r="Q14" s="5"/>
      <c r="R14" s="11"/>
      <c r="S14" s="11"/>
      <c r="T14" s="13"/>
      <c r="U14" s="11" t="s">
        <v>259</v>
      </c>
    </row>
    <row r="15" spans="1:21" ht="72" customHeight="1">
      <c r="A15" s="7">
        <v>9</v>
      </c>
      <c r="B15" s="7" t="s">
        <v>260</v>
      </c>
      <c r="C15" s="7" t="s">
        <v>261</v>
      </c>
      <c r="D15" s="7" t="s">
        <v>262</v>
      </c>
      <c r="E15" s="3" t="s">
        <v>229</v>
      </c>
      <c r="F15" s="3" t="s">
        <v>263</v>
      </c>
      <c r="G15" s="9" t="s">
        <v>10</v>
      </c>
      <c r="H15" s="9" t="s">
        <v>249</v>
      </c>
      <c r="I15" s="9" t="s">
        <v>199</v>
      </c>
      <c r="J15" s="9" t="s">
        <v>232</v>
      </c>
      <c r="K15" s="3" t="s">
        <v>233</v>
      </c>
      <c r="L15" s="3" t="s">
        <v>234</v>
      </c>
      <c r="M15" s="3" t="s">
        <v>264</v>
      </c>
      <c r="N15" s="3" t="s">
        <v>265</v>
      </c>
      <c r="O15" s="5" t="s">
        <v>5</v>
      </c>
      <c r="P15" s="5"/>
      <c r="Q15" s="5"/>
      <c r="R15" s="11"/>
      <c r="S15" s="11"/>
      <c r="T15" s="13"/>
      <c r="U15" s="11" t="s">
        <v>266</v>
      </c>
    </row>
    <row r="16" spans="1:21" ht="72" customHeight="1">
      <c r="A16" s="7">
        <v>10</v>
      </c>
      <c r="B16" s="7" t="s">
        <v>267</v>
      </c>
      <c r="C16" s="7" t="s">
        <v>268</v>
      </c>
      <c r="D16" s="7" t="s">
        <v>269</v>
      </c>
      <c r="E16" s="3" t="s">
        <v>229</v>
      </c>
      <c r="F16" s="3" t="s">
        <v>270</v>
      </c>
      <c r="G16" s="9" t="s">
        <v>10</v>
      </c>
      <c r="H16" s="9" t="s">
        <v>249</v>
      </c>
      <c r="I16" s="9" t="s">
        <v>199</v>
      </c>
      <c r="J16" s="9" t="s">
        <v>232</v>
      </c>
      <c r="K16" s="3" t="s">
        <v>233</v>
      </c>
      <c r="L16" s="3" t="s">
        <v>234</v>
      </c>
      <c r="M16" s="3" t="s">
        <v>271</v>
      </c>
      <c r="N16" s="3" t="s">
        <v>272</v>
      </c>
      <c r="O16" s="5" t="s">
        <v>5</v>
      </c>
      <c r="P16" s="5"/>
      <c r="Q16" s="5"/>
      <c r="R16" s="11"/>
      <c r="S16" s="11"/>
      <c r="T16" s="13"/>
      <c r="U16" s="11" t="s">
        <v>273</v>
      </c>
    </row>
    <row r="17" spans="1:21" ht="72" customHeight="1">
      <c r="A17" s="7">
        <v>11</v>
      </c>
      <c r="B17" s="7" t="s">
        <v>274</v>
      </c>
      <c r="C17" s="7" t="s">
        <v>275</v>
      </c>
      <c r="D17" s="7" t="s">
        <v>276</v>
      </c>
      <c r="E17" s="3" t="s">
        <v>229</v>
      </c>
      <c r="F17" s="3" t="s">
        <v>277</v>
      </c>
      <c r="G17" s="9" t="s">
        <v>10</v>
      </c>
      <c r="H17" s="9" t="s">
        <v>249</v>
      </c>
      <c r="I17" s="9" t="s">
        <v>199</v>
      </c>
      <c r="J17" s="9" t="s">
        <v>278</v>
      </c>
      <c r="K17" s="3" t="s">
        <v>233</v>
      </c>
      <c r="L17" s="3" t="s">
        <v>234</v>
      </c>
      <c r="M17" s="3" t="s">
        <v>279</v>
      </c>
      <c r="N17" s="3" t="s">
        <v>280</v>
      </c>
      <c r="O17" s="5" t="s">
        <v>5</v>
      </c>
      <c r="P17" s="5"/>
      <c r="Q17" s="5"/>
      <c r="R17" s="11"/>
      <c r="S17" s="11"/>
      <c r="T17" s="13"/>
      <c r="U17" s="11" t="s">
        <v>281</v>
      </c>
    </row>
    <row r="18" spans="1:21" ht="72" customHeight="1">
      <c r="A18" s="7">
        <v>12</v>
      </c>
      <c r="B18" s="7" t="s">
        <v>282</v>
      </c>
      <c r="C18" s="7" t="s">
        <v>283</v>
      </c>
      <c r="D18" s="7" t="s">
        <v>284</v>
      </c>
      <c r="E18" s="3" t="s">
        <v>229</v>
      </c>
      <c r="F18" s="3" t="s">
        <v>285</v>
      </c>
      <c r="G18" s="9" t="s">
        <v>10</v>
      </c>
      <c r="H18" s="9" t="s">
        <v>286</v>
      </c>
      <c r="I18" s="9" t="s">
        <v>199</v>
      </c>
      <c r="J18" s="9" t="s">
        <v>232</v>
      </c>
      <c r="K18" s="3" t="s">
        <v>233</v>
      </c>
      <c r="L18" s="3" t="s">
        <v>234</v>
      </c>
      <c r="M18" s="3" t="s">
        <v>287</v>
      </c>
      <c r="N18" s="3" t="s">
        <v>288</v>
      </c>
      <c r="O18" s="5" t="s">
        <v>5</v>
      </c>
      <c r="P18" s="5"/>
      <c r="Q18" s="5"/>
      <c r="R18" s="11"/>
      <c r="S18" s="11"/>
      <c r="T18" s="13"/>
      <c r="U18" s="11" t="s">
        <v>289</v>
      </c>
    </row>
    <row r="19" spans="1:21" ht="72" customHeight="1">
      <c r="A19" s="7">
        <v>13</v>
      </c>
      <c r="B19" s="7" t="s">
        <v>290</v>
      </c>
      <c r="C19" s="7" t="s">
        <v>291</v>
      </c>
      <c r="D19" s="7" t="s">
        <v>292</v>
      </c>
      <c r="E19" s="3" t="s">
        <v>229</v>
      </c>
      <c r="F19" s="3" t="s">
        <v>293</v>
      </c>
      <c r="G19" s="9" t="s">
        <v>10</v>
      </c>
      <c r="H19" s="9" t="s">
        <v>231</v>
      </c>
      <c r="I19" s="9" t="s">
        <v>199</v>
      </c>
      <c r="J19" s="9" t="s">
        <v>232</v>
      </c>
      <c r="K19" s="3" t="s">
        <v>233</v>
      </c>
      <c r="L19" s="3" t="s">
        <v>234</v>
      </c>
      <c r="M19" s="3" t="s">
        <v>294</v>
      </c>
      <c r="N19" s="3" t="s">
        <v>295</v>
      </c>
      <c r="O19" s="5" t="s">
        <v>5</v>
      </c>
      <c r="P19" s="5"/>
      <c r="Q19" s="5"/>
      <c r="R19" s="11"/>
      <c r="S19" s="11"/>
      <c r="T19" s="13"/>
      <c r="U19" s="11" t="s">
        <v>296</v>
      </c>
    </row>
    <row r="20" spans="1:21" ht="72" customHeight="1">
      <c r="A20" s="7">
        <v>14</v>
      </c>
      <c r="B20" s="7" t="s">
        <v>297</v>
      </c>
      <c r="C20" s="7" t="s">
        <v>298</v>
      </c>
      <c r="D20" s="7" t="s">
        <v>299</v>
      </c>
      <c r="E20" s="3" t="s">
        <v>300</v>
      </c>
      <c r="F20" s="3" t="s">
        <v>301</v>
      </c>
      <c r="G20" s="9" t="s">
        <v>10</v>
      </c>
      <c r="H20" s="9" t="s">
        <v>249</v>
      </c>
      <c r="I20" s="9" t="s">
        <v>199</v>
      </c>
      <c r="J20" s="9" t="s">
        <v>232</v>
      </c>
      <c r="K20" s="3" t="s">
        <v>302</v>
      </c>
      <c r="L20" s="3" t="s">
        <v>202</v>
      </c>
      <c r="M20" s="3" t="s">
        <v>303</v>
      </c>
      <c r="N20" s="3" t="s">
        <v>304</v>
      </c>
      <c r="O20" s="5" t="s">
        <v>5</v>
      </c>
      <c r="P20" s="5"/>
      <c r="Q20" s="5"/>
      <c r="R20" s="11"/>
      <c r="S20" s="11"/>
      <c r="T20" s="13"/>
      <c r="U20" s="11" t="s">
        <v>305</v>
      </c>
    </row>
    <row r="21" spans="1:21" ht="72" customHeight="1">
      <c r="A21" s="7">
        <v>15</v>
      </c>
      <c r="B21" s="7" t="s">
        <v>306</v>
      </c>
      <c r="C21" s="7" t="s">
        <v>307</v>
      </c>
      <c r="D21" s="7" t="s">
        <v>308</v>
      </c>
      <c r="E21" s="3" t="s">
        <v>300</v>
      </c>
      <c r="F21" s="3" t="s">
        <v>309</v>
      </c>
      <c r="G21" s="9" t="s">
        <v>10</v>
      </c>
      <c r="H21" s="9" t="s">
        <v>286</v>
      </c>
      <c r="I21" s="9" t="s">
        <v>199</v>
      </c>
      <c r="J21" s="9" t="s">
        <v>278</v>
      </c>
      <c r="K21" s="3" t="s">
        <v>302</v>
      </c>
      <c r="L21" s="3" t="s">
        <v>202</v>
      </c>
      <c r="M21" s="3" t="s">
        <v>310</v>
      </c>
      <c r="N21" s="3" t="s">
        <v>311</v>
      </c>
      <c r="O21" s="5" t="s">
        <v>5</v>
      </c>
      <c r="P21" s="5"/>
      <c r="Q21" s="5"/>
      <c r="R21" s="11"/>
      <c r="S21" s="11"/>
      <c r="T21" s="13"/>
      <c r="U21" s="11" t="s">
        <v>312</v>
      </c>
    </row>
    <row r="22" spans="1:21" ht="72" customHeight="1">
      <c r="A22" s="7">
        <v>16</v>
      </c>
      <c r="B22" s="7" t="s">
        <v>313</v>
      </c>
      <c r="C22" s="7" t="s">
        <v>314</v>
      </c>
      <c r="D22" s="7" t="s">
        <v>315</v>
      </c>
      <c r="E22" s="3" t="s">
        <v>300</v>
      </c>
      <c r="F22" s="3" t="s">
        <v>316</v>
      </c>
      <c r="G22" s="9" t="s">
        <v>11</v>
      </c>
      <c r="H22" s="9" t="s">
        <v>231</v>
      </c>
      <c r="I22" s="9" t="s">
        <v>199</v>
      </c>
      <c r="J22" s="9" t="s">
        <v>232</v>
      </c>
      <c r="K22" s="3" t="s">
        <v>302</v>
      </c>
      <c r="L22" s="3" t="s">
        <v>202</v>
      </c>
      <c r="M22" s="3" t="s">
        <v>317</v>
      </c>
      <c r="N22" s="3" t="s">
        <v>318</v>
      </c>
      <c r="O22" s="5" t="s">
        <v>5</v>
      </c>
      <c r="P22" s="5"/>
      <c r="Q22" s="5"/>
      <c r="R22" s="11"/>
      <c r="S22" s="11"/>
      <c r="T22" s="13"/>
      <c r="U22" s="11" t="s">
        <v>319</v>
      </c>
    </row>
    <row r="23" spans="1:21" ht="72" customHeight="1">
      <c r="A23" s="7">
        <v>17</v>
      </c>
      <c r="B23" s="7" t="s">
        <v>320</v>
      </c>
      <c r="C23" s="7" t="s">
        <v>321</v>
      </c>
      <c r="D23" s="7" t="s">
        <v>322</v>
      </c>
      <c r="E23" s="3" t="s">
        <v>300</v>
      </c>
      <c r="F23" s="3" t="s">
        <v>323</v>
      </c>
      <c r="G23" s="9" t="s">
        <v>10</v>
      </c>
      <c r="H23" s="9" t="s">
        <v>249</v>
      </c>
      <c r="I23" s="9" t="s">
        <v>199</v>
      </c>
      <c r="J23" s="9" t="s">
        <v>232</v>
      </c>
      <c r="K23" s="3" t="s">
        <v>302</v>
      </c>
      <c r="L23" s="3" t="s">
        <v>202</v>
      </c>
      <c r="M23" s="3" t="s">
        <v>324</v>
      </c>
      <c r="N23" s="3" t="s">
        <v>325</v>
      </c>
      <c r="O23" s="5" t="s">
        <v>5</v>
      </c>
      <c r="P23" s="5"/>
      <c r="Q23" s="5"/>
      <c r="R23" s="11"/>
      <c r="S23" s="11"/>
      <c r="T23" s="13"/>
      <c r="U23" s="11" t="s">
        <v>326</v>
      </c>
    </row>
    <row r="24" spans="1:21" ht="72" customHeight="1">
      <c r="A24" s="7">
        <v>18</v>
      </c>
      <c r="B24" s="7" t="s">
        <v>327</v>
      </c>
      <c r="C24" s="7" t="s">
        <v>328</v>
      </c>
      <c r="D24" s="7" t="s">
        <v>329</v>
      </c>
      <c r="E24" s="3" t="s">
        <v>300</v>
      </c>
      <c r="F24" s="3" t="s">
        <v>330</v>
      </c>
      <c r="G24" s="9" t="s">
        <v>11</v>
      </c>
      <c r="H24" s="9" t="s">
        <v>331</v>
      </c>
      <c r="I24" s="9" t="s">
        <v>199</v>
      </c>
      <c r="J24" s="9" t="s">
        <v>232</v>
      </c>
      <c r="K24" s="3" t="s">
        <v>302</v>
      </c>
      <c r="L24" s="3" t="s">
        <v>202</v>
      </c>
      <c r="M24" s="3" t="s">
        <v>332</v>
      </c>
      <c r="N24" s="3" t="s">
        <v>333</v>
      </c>
      <c r="O24" s="5" t="s">
        <v>5</v>
      </c>
      <c r="P24" s="5"/>
      <c r="Q24" s="5"/>
      <c r="R24" s="11"/>
      <c r="S24" s="11"/>
      <c r="T24" s="13"/>
      <c r="U24" s="11" t="s">
        <v>334</v>
      </c>
    </row>
    <row r="25" spans="1:21" ht="72" customHeight="1">
      <c r="A25" s="7">
        <v>19</v>
      </c>
      <c r="B25" s="7" t="s">
        <v>335</v>
      </c>
      <c r="C25" s="7" t="s">
        <v>336</v>
      </c>
      <c r="D25" s="7" t="s">
        <v>337</v>
      </c>
      <c r="E25" s="3" t="s">
        <v>300</v>
      </c>
      <c r="F25" s="3" t="s">
        <v>338</v>
      </c>
      <c r="G25" s="9" t="s">
        <v>11</v>
      </c>
      <c r="H25" s="9" t="s">
        <v>249</v>
      </c>
      <c r="I25" s="9" t="s">
        <v>199</v>
      </c>
      <c r="J25" s="9" t="s">
        <v>232</v>
      </c>
      <c r="K25" s="3" t="s">
        <v>302</v>
      </c>
      <c r="L25" s="3" t="s">
        <v>202</v>
      </c>
      <c r="M25" s="3" t="s">
        <v>339</v>
      </c>
      <c r="N25" s="3" t="s">
        <v>340</v>
      </c>
      <c r="O25" s="5" t="s">
        <v>5</v>
      </c>
      <c r="P25" s="5"/>
      <c r="Q25" s="5"/>
      <c r="R25" s="11"/>
      <c r="S25" s="11"/>
      <c r="T25" s="13"/>
      <c r="U25" s="11" t="s">
        <v>341</v>
      </c>
    </row>
    <row r="26" spans="1:21" ht="72" customHeight="1">
      <c r="A26" s="7">
        <v>20</v>
      </c>
      <c r="B26" s="7" t="s">
        <v>342</v>
      </c>
      <c r="C26" s="7" t="s">
        <v>343</v>
      </c>
      <c r="D26" s="7" t="s">
        <v>344</v>
      </c>
      <c r="E26" s="3" t="s">
        <v>345</v>
      </c>
      <c r="F26" s="3" t="s">
        <v>346</v>
      </c>
      <c r="G26" s="9" t="s">
        <v>10</v>
      </c>
      <c r="H26" s="9" t="s">
        <v>231</v>
      </c>
      <c r="I26" s="9" t="s">
        <v>199</v>
      </c>
      <c r="J26" s="9" t="s">
        <v>278</v>
      </c>
      <c r="K26" s="3" t="s">
        <v>233</v>
      </c>
      <c r="L26" s="3" t="s">
        <v>234</v>
      </c>
      <c r="M26" s="3" t="s">
        <v>347</v>
      </c>
      <c r="N26" s="3" t="s">
        <v>348</v>
      </c>
      <c r="O26" s="5" t="s">
        <v>5</v>
      </c>
      <c r="P26" s="5"/>
      <c r="Q26" s="5"/>
      <c r="R26" s="11"/>
      <c r="S26" s="11"/>
      <c r="T26" s="13"/>
      <c r="U26" s="11" t="s">
        <v>349</v>
      </c>
    </row>
    <row r="27" spans="1:21" ht="72" customHeight="1">
      <c r="A27" s="7">
        <v>21</v>
      </c>
      <c r="B27" s="7" t="s">
        <v>350</v>
      </c>
      <c r="C27" s="7" t="s">
        <v>351</v>
      </c>
      <c r="D27" s="7" t="s">
        <v>352</v>
      </c>
      <c r="E27" s="3" t="s">
        <v>345</v>
      </c>
      <c r="F27" s="3" t="s">
        <v>353</v>
      </c>
      <c r="G27" s="9" t="s">
        <v>10</v>
      </c>
      <c r="H27" s="9" t="s">
        <v>231</v>
      </c>
      <c r="I27" s="9" t="s">
        <v>199</v>
      </c>
      <c r="J27" s="9" t="s">
        <v>232</v>
      </c>
      <c r="K27" s="3" t="s">
        <v>233</v>
      </c>
      <c r="L27" s="3" t="s">
        <v>234</v>
      </c>
      <c r="M27" s="3" t="s">
        <v>354</v>
      </c>
      <c r="N27" s="3" t="s">
        <v>355</v>
      </c>
      <c r="O27" s="5" t="s">
        <v>5</v>
      </c>
      <c r="P27" s="5"/>
      <c r="Q27" s="5"/>
      <c r="R27" s="11"/>
      <c r="S27" s="11"/>
      <c r="T27" s="13"/>
      <c r="U27" s="11" t="s">
        <v>356</v>
      </c>
    </row>
    <row r="28" spans="1:21" ht="72" customHeight="1">
      <c r="A28" s="7">
        <v>22</v>
      </c>
      <c r="B28" s="7" t="s">
        <v>357</v>
      </c>
      <c r="C28" s="7" t="s">
        <v>358</v>
      </c>
      <c r="D28" s="7" t="s">
        <v>359</v>
      </c>
      <c r="E28" s="3" t="s">
        <v>345</v>
      </c>
      <c r="F28" s="3" t="s">
        <v>360</v>
      </c>
      <c r="G28" s="9" t="s">
        <v>10</v>
      </c>
      <c r="H28" s="9" t="s">
        <v>231</v>
      </c>
      <c r="I28" s="9" t="s">
        <v>199</v>
      </c>
      <c r="J28" s="9" t="s">
        <v>232</v>
      </c>
      <c r="K28" s="3" t="s">
        <v>233</v>
      </c>
      <c r="L28" s="3" t="s">
        <v>234</v>
      </c>
      <c r="M28" s="3" t="s">
        <v>361</v>
      </c>
      <c r="N28" s="3" t="s">
        <v>362</v>
      </c>
      <c r="O28" s="5" t="s">
        <v>5</v>
      </c>
      <c r="P28" s="5"/>
      <c r="Q28" s="5"/>
      <c r="R28" s="11"/>
      <c r="S28" s="11"/>
      <c r="T28" s="13"/>
      <c r="U28" s="11" t="s">
        <v>363</v>
      </c>
    </row>
    <row r="29" spans="1:21" ht="72" customHeight="1">
      <c r="A29" s="7">
        <v>23</v>
      </c>
      <c r="B29" s="7" t="s">
        <v>364</v>
      </c>
      <c r="C29" s="7" t="s">
        <v>365</v>
      </c>
      <c r="D29" s="7" t="s">
        <v>366</v>
      </c>
      <c r="E29" s="3" t="s">
        <v>345</v>
      </c>
      <c r="F29" s="3" t="s">
        <v>367</v>
      </c>
      <c r="G29" s="9" t="s">
        <v>10</v>
      </c>
      <c r="H29" s="9" t="s">
        <v>286</v>
      </c>
      <c r="I29" s="9" t="s">
        <v>199</v>
      </c>
      <c r="J29" s="9" t="s">
        <v>232</v>
      </c>
      <c r="K29" s="3" t="s">
        <v>233</v>
      </c>
      <c r="L29" s="3" t="s">
        <v>234</v>
      </c>
      <c r="M29" s="3" t="s">
        <v>368</v>
      </c>
      <c r="N29" s="3" t="s">
        <v>369</v>
      </c>
      <c r="O29" s="5" t="s">
        <v>5</v>
      </c>
      <c r="P29" s="5"/>
      <c r="Q29" s="5"/>
      <c r="R29" s="11"/>
      <c r="S29" s="11"/>
      <c r="T29" s="13"/>
      <c r="U29" s="11" t="s">
        <v>370</v>
      </c>
    </row>
    <row r="30" spans="1:21" ht="72" customHeight="1">
      <c r="A30" s="7">
        <v>24</v>
      </c>
      <c r="B30" s="7" t="s">
        <v>371</v>
      </c>
      <c r="C30" s="7" t="s">
        <v>372</v>
      </c>
      <c r="D30" s="7" t="s">
        <v>373</v>
      </c>
      <c r="E30" s="3" t="s">
        <v>345</v>
      </c>
      <c r="F30" s="3" t="s">
        <v>374</v>
      </c>
      <c r="G30" s="9" t="s">
        <v>10</v>
      </c>
      <c r="H30" s="9" t="s">
        <v>286</v>
      </c>
      <c r="I30" s="9" t="s">
        <v>199</v>
      </c>
      <c r="J30" s="9" t="s">
        <v>232</v>
      </c>
      <c r="K30" s="3" t="s">
        <v>233</v>
      </c>
      <c r="L30" s="3" t="s">
        <v>234</v>
      </c>
      <c r="M30" s="3" t="s">
        <v>375</v>
      </c>
      <c r="N30" s="3" t="s">
        <v>376</v>
      </c>
      <c r="O30" s="5" t="s">
        <v>5</v>
      </c>
      <c r="P30" s="5"/>
      <c r="Q30" s="5"/>
      <c r="R30" s="11"/>
      <c r="S30" s="11"/>
      <c r="T30" s="13"/>
      <c r="U30" s="11" t="s">
        <v>377</v>
      </c>
    </row>
    <row r="31" spans="1:21" ht="72" customHeight="1">
      <c r="A31" s="7">
        <v>25</v>
      </c>
      <c r="B31" s="7" t="s">
        <v>378</v>
      </c>
      <c r="C31" s="7" t="s">
        <v>379</v>
      </c>
      <c r="D31" s="7" t="s">
        <v>380</v>
      </c>
      <c r="E31" s="3" t="s">
        <v>345</v>
      </c>
      <c r="F31" s="3" t="s">
        <v>381</v>
      </c>
      <c r="G31" s="9" t="s">
        <v>10</v>
      </c>
      <c r="H31" s="9" t="s">
        <v>231</v>
      </c>
      <c r="I31" s="9" t="s">
        <v>199</v>
      </c>
      <c r="J31" s="9" t="s">
        <v>232</v>
      </c>
      <c r="K31" s="3" t="s">
        <v>233</v>
      </c>
      <c r="L31" s="3" t="s">
        <v>234</v>
      </c>
      <c r="M31" s="3" t="s">
        <v>382</v>
      </c>
      <c r="N31" s="3" t="s">
        <v>383</v>
      </c>
      <c r="O31" s="5" t="s">
        <v>5</v>
      </c>
      <c r="P31" s="5"/>
      <c r="Q31" s="5"/>
      <c r="R31" s="11"/>
      <c r="S31" s="11"/>
      <c r="T31" s="13"/>
      <c r="U31" s="11" t="s">
        <v>384</v>
      </c>
    </row>
    <row r="32" spans="1:21" ht="72" customHeight="1">
      <c r="A32" s="7">
        <v>26</v>
      </c>
      <c r="B32" s="7" t="s">
        <v>385</v>
      </c>
      <c r="C32" s="7" t="s">
        <v>386</v>
      </c>
      <c r="D32" s="7" t="s">
        <v>387</v>
      </c>
      <c r="E32" s="3" t="s">
        <v>345</v>
      </c>
      <c r="F32" s="3" t="s">
        <v>388</v>
      </c>
      <c r="G32" s="9" t="s">
        <v>10</v>
      </c>
      <c r="H32" s="9" t="s">
        <v>231</v>
      </c>
      <c r="I32" s="9" t="s">
        <v>199</v>
      </c>
      <c r="J32" s="9" t="s">
        <v>232</v>
      </c>
      <c r="K32" s="3" t="s">
        <v>233</v>
      </c>
      <c r="L32" s="3" t="s">
        <v>234</v>
      </c>
      <c r="M32" s="3" t="s">
        <v>389</v>
      </c>
      <c r="N32" s="3" t="s">
        <v>390</v>
      </c>
      <c r="O32" s="5" t="s">
        <v>5</v>
      </c>
      <c r="P32" s="5"/>
      <c r="Q32" s="5"/>
      <c r="R32" s="11"/>
      <c r="S32" s="11"/>
      <c r="T32" s="13"/>
      <c r="U32" s="11" t="s">
        <v>391</v>
      </c>
    </row>
    <row r="33" spans="1:21" ht="72" customHeight="1">
      <c r="A33" s="7">
        <v>27</v>
      </c>
      <c r="B33" s="7" t="s">
        <v>392</v>
      </c>
      <c r="C33" s="7" t="s">
        <v>393</v>
      </c>
      <c r="D33" s="7" t="s">
        <v>394</v>
      </c>
      <c r="E33" s="3" t="s">
        <v>345</v>
      </c>
      <c r="F33" s="3" t="s">
        <v>395</v>
      </c>
      <c r="G33" s="9" t="s">
        <v>11</v>
      </c>
      <c r="H33" s="9" t="s">
        <v>231</v>
      </c>
      <c r="I33" s="9" t="s">
        <v>199</v>
      </c>
      <c r="J33" s="9" t="s">
        <v>232</v>
      </c>
      <c r="K33" s="3" t="s">
        <v>233</v>
      </c>
      <c r="L33" s="3" t="s">
        <v>234</v>
      </c>
      <c r="M33" s="3" t="s">
        <v>396</v>
      </c>
      <c r="N33" s="3" t="s">
        <v>397</v>
      </c>
      <c r="O33" s="5" t="s">
        <v>5</v>
      </c>
      <c r="P33" s="5"/>
      <c r="Q33" s="5"/>
      <c r="R33" s="11"/>
      <c r="S33" s="11"/>
      <c r="T33" s="13"/>
      <c r="U33" s="11" t="s">
        <v>398</v>
      </c>
    </row>
    <row r="34" spans="1:21" ht="72" customHeight="1">
      <c r="A34" s="7">
        <v>28</v>
      </c>
      <c r="B34" s="7" t="s">
        <v>399</v>
      </c>
      <c r="C34" s="7" t="s">
        <v>400</v>
      </c>
      <c r="D34" s="7" t="s">
        <v>401</v>
      </c>
      <c r="E34" s="3" t="s">
        <v>345</v>
      </c>
      <c r="F34" s="3" t="s">
        <v>402</v>
      </c>
      <c r="G34" s="9" t="s">
        <v>11</v>
      </c>
      <c r="H34" s="9" t="s">
        <v>231</v>
      </c>
      <c r="I34" s="9" t="s">
        <v>199</v>
      </c>
      <c r="J34" s="9" t="s">
        <v>232</v>
      </c>
      <c r="K34" s="3" t="s">
        <v>233</v>
      </c>
      <c r="L34" s="3" t="s">
        <v>234</v>
      </c>
      <c r="M34" s="3" t="s">
        <v>403</v>
      </c>
      <c r="N34" s="3" t="s">
        <v>404</v>
      </c>
      <c r="O34" s="5" t="s">
        <v>5</v>
      </c>
      <c r="P34" s="5"/>
      <c r="Q34" s="5"/>
      <c r="R34" s="11"/>
      <c r="S34" s="11"/>
      <c r="T34" s="13"/>
      <c r="U34" s="11" t="s">
        <v>405</v>
      </c>
    </row>
    <row r="35" spans="1:21" ht="72" customHeight="1">
      <c r="A35" s="7">
        <v>29</v>
      </c>
      <c r="B35" s="7" t="s">
        <v>406</v>
      </c>
      <c r="C35" s="7" t="s">
        <v>407</v>
      </c>
      <c r="D35" s="7" t="s">
        <v>408</v>
      </c>
      <c r="E35" s="3" t="s">
        <v>345</v>
      </c>
      <c r="F35" s="3" t="s">
        <v>409</v>
      </c>
      <c r="G35" s="9" t="s">
        <v>10</v>
      </c>
      <c r="H35" s="9" t="s">
        <v>231</v>
      </c>
      <c r="I35" s="9" t="s">
        <v>199</v>
      </c>
      <c r="J35" s="9" t="s">
        <v>232</v>
      </c>
      <c r="K35" s="3" t="s">
        <v>233</v>
      </c>
      <c r="L35" s="3" t="s">
        <v>234</v>
      </c>
      <c r="M35" s="3" t="s">
        <v>410</v>
      </c>
      <c r="N35" s="3" t="s">
        <v>411</v>
      </c>
      <c r="O35" s="5" t="s">
        <v>5</v>
      </c>
      <c r="P35" s="5"/>
      <c r="Q35" s="5"/>
      <c r="R35" s="11"/>
      <c r="S35" s="11"/>
      <c r="T35" s="13"/>
      <c r="U35" s="11" t="s">
        <v>412</v>
      </c>
    </row>
    <row r="36" spans="1:21" ht="72" customHeight="1">
      <c r="A36" s="7">
        <v>30</v>
      </c>
      <c r="B36" s="7" t="s">
        <v>413</v>
      </c>
      <c r="C36" s="7" t="s">
        <v>414</v>
      </c>
      <c r="D36" s="7" t="s">
        <v>415</v>
      </c>
      <c r="E36" s="3" t="s">
        <v>345</v>
      </c>
      <c r="F36" s="3" t="s">
        <v>416</v>
      </c>
      <c r="G36" s="9" t="s">
        <v>11</v>
      </c>
      <c r="H36" s="9" t="s">
        <v>286</v>
      </c>
      <c r="I36" s="9" t="s">
        <v>199</v>
      </c>
      <c r="J36" s="9" t="s">
        <v>232</v>
      </c>
      <c r="K36" s="3" t="s">
        <v>233</v>
      </c>
      <c r="L36" s="3" t="s">
        <v>234</v>
      </c>
      <c r="M36" s="3" t="s">
        <v>417</v>
      </c>
      <c r="N36" s="3" t="s">
        <v>418</v>
      </c>
      <c r="O36" s="5" t="s">
        <v>5</v>
      </c>
      <c r="P36" s="5"/>
      <c r="Q36" s="5"/>
      <c r="R36" s="11"/>
      <c r="S36" s="11"/>
      <c r="T36" s="13"/>
      <c r="U36" s="11" t="s">
        <v>419</v>
      </c>
    </row>
    <row r="37" spans="1:21" ht="72" customHeight="1">
      <c r="A37" s="7">
        <v>31</v>
      </c>
      <c r="B37" s="7" t="s">
        <v>420</v>
      </c>
      <c r="C37" s="7" t="s">
        <v>421</v>
      </c>
      <c r="D37" s="7" t="s">
        <v>422</v>
      </c>
      <c r="E37" s="3" t="s">
        <v>423</v>
      </c>
      <c r="F37" s="3" t="s">
        <v>424</v>
      </c>
      <c r="G37" s="9" t="s">
        <v>10</v>
      </c>
      <c r="H37" s="9" t="s">
        <v>286</v>
      </c>
      <c r="I37" s="9" t="s">
        <v>199</v>
      </c>
      <c r="J37" s="9" t="s">
        <v>425</v>
      </c>
      <c r="K37" s="3" t="s">
        <v>426</v>
      </c>
      <c r="L37" s="3" t="s">
        <v>427</v>
      </c>
      <c r="M37" s="3" t="s">
        <v>428</v>
      </c>
      <c r="N37" s="3" t="s">
        <v>429</v>
      </c>
      <c r="O37" s="5" t="s">
        <v>5</v>
      </c>
      <c r="P37" s="5"/>
      <c r="Q37" s="5"/>
      <c r="R37" s="11"/>
      <c r="S37" s="11"/>
      <c r="T37" s="13"/>
      <c r="U37" s="11" t="s">
        <v>430</v>
      </c>
    </row>
    <row r="38" spans="1:21" ht="72" customHeight="1">
      <c r="A38" s="7">
        <v>32</v>
      </c>
      <c r="B38" s="7" t="s">
        <v>431</v>
      </c>
      <c r="C38" s="7" t="s">
        <v>432</v>
      </c>
      <c r="D38" s="7" t="s">
        <v>433</v>
      </c>
      <c r="E38" s="3" t="s">
        <v>423</v>
      </c>
      <c r="F38" s="3" t="s">
        <v>434</v>
      </c>
      <c r="G38" s="9" t="s">
        <v>10</v>
      </c>
      <c r="H38" s="9" t="s">
        <v>286</v>
      </c>
      <c r="I38" s="9" t="s">
        <v>199</v>
      </c>
      <c r="J38" s="9" t="s">
        <v>425</v>
      </c>
      <c r="K38" s="3" t="s">
        <v>426</v>
      </c>
      <c r="L38" s="3" t="s">
        <v>427</v>
      </c>
      <c r="M38" s="3" t="s">
        <v>435</v>
      </c>
      <c r="N38" s="3" t="s">
        <v>436</v>
      </c>
      <c r="O38" s="5" t="s">
        <v>5</v>
      </c>
      <c r="P38" s="5"/>
      <c r="Q38" s="5"/>
      <c r="R38" s="11"/>
      <c r="S38" s="11"/>
      <c r="T38" s="13"/>
      <c r="U38" s="11" t="s">
        <v>437</v>
      </c>
    </row>
    <row r="39" spans="1:21" ht="72" customHeight="1">
      <c r="A39" s="7">
        <v>33</v>
      </c>
      <c r="B39" s="7" t="s">
        <v>438</v>
      </c>
      <c r="C39" s="7" t="s">
        <v>439</v>
      </c>
      <c r="D39" s="7" t="s">
        <v>440</v>
      </c>
      <c r="E39" s="3" t="s">
        <v>423</v>
      </c>
      <c r="F39" s="3" t="s">
        <v>441</v>
      </c>
      <c r="G39" s="9" t="s">
        <v>10</v>
      </c>
      <c r="H39" s="9" t="s">
        <v>286</v>
      </c>
      <c r="I39" s="9" t="s">
        <v>199</v>
      </c>
      <c r="J39" s="9" t="s">
        <v>425</v>
      </c>
      <c r="K39" s="3" t="s">
        <v>426</v>
      </c>
      <c r="L39" s="3" t="s">
        <v>427</v>
      </c>
      <c r="M39" s="3" t="s">
        <v>442</v>
      </c>
      <c r="N39" s="3" t="s">
        <v>443</v>
      </c>
      <c r="O39" s="5" t="s">
        <v>5</v>
      </c>
      <c r="P39" s="5"/>
      <c r="Q39" s="5"/>
      <c r="R39" s="11"/>
      <c r="S39" s="11"/>
      <c r="T39" s="13"/>
      <c r="U39" s="11" t="s">
        <v>444</v>
      </c>
    </row>
    <row r="40" spans="1:21" ht="72" customHeight="1">
      <c r="A40" s="7">
        <v>34</v>
      </c>
      <c r="B40" s="7" t="s">
        <v>445</v>
      </c>
      <c r="C40" s="7" t="s">
        <v>446</v>
      </c>
      <c r="D40" s="7" t="s">
        <v>447</v>
      </c>
      <c r="E40" s="3" t="s">
        <v>423</v>
      </c>
      <c r="F40" s="3" t="s">
        <v>448</v>
      </c>
      <c r="G40" s="9" t="s">
        <v>10</v>
      </c>
      <c r="H40" s="9" t="s">
        <v>286</v>
      </c>
      <c r="I40" s="9" t="s">
        <v>199</v>
      </c>
      <c r="J40" s="9" t="s">
        <v>425</v>
      </c>
      <c r="K40" s="3" t="s">
        <v>426</v>
      </c>
      <c r="L40" s="3" t="s">
        <v>427</v>
      </c>
      <c r="M40" s="3" t="s">
        <v>449</v>
      </c>
      <c r="N40" s="3" t="s">
        <v>450</v>
      </c>
      <c r="O40" s="5" t="s">
        <v>5</v>
      </c>
      <c r="P40" s="5"/>
      <c r="Q40" s="5"/>
      <c r="R40" s="11"/>
      <c r="S40" s="11"/>
      <c r="T40" s="13"/>
      <c r="U40" s="11" t="s">
        <v>451</v>
      </c>
    </row>
    <row r="41" spans="1:21" ht="72" customHeight="1">
      <c r="A41" s="7">
        <v>35</v>
      </c>
      <c r="B41" s="7" t="s">
        <v>452</v>
      </c>
      <c r="C41" s="7" t="s">
        <v>453</v>
      </c>
      <c r="D41" s="7" t="s">
        <v>454</v>
      </c>
      <c r="E41" s="3" t="s">
        <v>423</v>
      </c>
      <c r="F41" s="3" t="s">
        <v>455</v>
      </c>
      <c r="G41" s="9" t="s">
        <v>10</v>
      </c>
      <c r="H41" s="9" t="s">
        <v>286</v>
      </c>
      <c r="I41" s="9" t="s">
        <v>199</v>
      </c>
      <c r="J41" s="9" t="s">
        <v>425</v>
      </c>
      <c r="K41" s="3" t="s">
        <v>426</v>
      </c>
      <c r="L41" s="3" t="s">
        <v>427</v>
      </c>
      <c r="M41" s="3" t="s">
        <v>456</v>
      </c>
      <c r="N41" s="3" t="s">
        <v>457</v>
      </c>
      <c r="O41" s="5" t="s">
        <v>5</v>
      </c>
      <c r="P41" s="5"/>
      <c r="Q41" s="5"/>
      <c r="R41" s="11"/>
      <c r="S41" s="11"/>
      <c r="T41" s="13"/>
      <c r="U41" s="11" t="s">
        <v>458</v>
      </c>
    </row>
    <row r="42" spans="1:21" ht="72" customHeight="1">
      <c r="A42" s="7">
        <v>36</v>
      </c>
      <c r="B42" s="7" t="s">
        <v>459</v>
      </c>
      <c r="C42" s="7" t="s">
        <v>460</v>
      </c>
      <c r="D42" s="7" t="s">
        <v>461</v>
      </c>
      <c r="E42" s="3" t="s">
        <v>423</v>
      </c>
      <c r="F42" s="3" t="s">
        <v>462</v>
      </c>
      <c r="G42" s="9" t="s">
        <v>11</v>
      </c>
      <c r="H42" s="9" t="s">
        <v>286</v>
      </c>
      <c r="I42" s="9" t="s">
        <v>199</v>
      </c>
      <c r="J42" s="9" t="s">
        <v>425</v>
      </c>
      <c r="K42" s="3" t="s">
        <v>426</v>
      </c>
      <c r="L42" s="3" t="s">
        <v>427</v>
      </c>
      <c r="M42" s="3" t="s">
        <v>463</v>
      </c>
      <c r="N42" s="3" t="s">
        <v>464</v>
      </c>
      <c r="O42" s="5" t="s">
        <v>5</v>
      </c>
      <c r="P42" s="5"/>
      <c r="Q42" s="5"/>
      <c r="R42" s="11"/>
      <c r="S42" s="11"/>
      <c r="T42" s="13"/>
      <c r="U42" s="11" t="s">
        <v>465</v>
      </c>
    </row>
    <row r="43" spans="1:21" ht="72" customHeight="1">
      <c r="A43" s="7">
        <v>37</v>
      </c>
      <c r="B43" s="7" t="s">
        <v>466</v>
      </c>
      <c r="C43" s="7" t="s">
        <v>467</v>
      </c>
      <c r="D43" s="7" t="s">
        <v>468</v>
      </c>
      <c r="E43" s="3" t="s">
        <v>423</v>
      </c>
      <c r="F43" s="3" t="s">
        <v>469</v>
      </c>
      <c r="G43" s="9" t="s">
        <v>10</v>
      </c>
      <c r="H43" s="9" t="s">
        <v>286</v>
      </c>
      <c r="I43" s="9" t="s">
        <v>199</v>
      </c>
      <c r="J43" s="9" t="s">
        <v>425</v>
      </c>
      <c r="K43" s="3" t="s">
        <v>426</v>
      </c>
      <c r="L43" s="3" t="s">
        <v>427</v>
      </c>
      <c r="M43" s="3" t="s">
        <v>470</v>
      </c>
      <c r="N43" s="3" t="s">
        <v>471</v>
      </c>
      <c r="O43" s="5" t="s">
        <v>5</v>
      </c>
      <c r="P43" s="5"/>
      <c r="Q43" s="5"/>
      <c r="R43" s="11"/>
      <c r="S43" s="11"/>
      <c r="T43" s="13"/>
      <c r="U43" s="11" t="s">
        <v>472</v>
      </c>
    </row>
    <row r="44" spans="1:21" ht="72" customHeight="1">
      <c r="A44" s="7">
        <v>38</v>
      </c>
      <c r="B44" s="7" t="s">
        <v>473</v>
      </c>
      <c r="C44" s="7" t="s">
        <v>474</v>
      </c>
      <c r="D44" s="7" t="s">
        <v>475</v>
      </c>
      <c r="E44" s="3" t="s">
        <v>423</v>
      </c>
      <c r="F44" s="3" t="s">
        <v>476</v>
      </c>
      <c r="G44" s="9" t="s">
        <v>10</v>
      </c>
      <c r="H44" s="9" t="s">
        <v>286</v>
      </c>
      <c r="I44" s="9" t="s">
        <v>199</v>
      </c>
      <c r="J44" s="9" t="s">
        <v>425</v>
      </c>
      <c r="K44" s="3" t="s">
        <v>426</v>
      </c>
      <c r="L44" s="3" t="s">
        <v>427</v>
      </c>
      <c r="M44" s="3" t="s">
        <v>477</v>
      </c>
      <c r="N44" s="3" t="s">
        <v>478</v>
      </c>
      <c r="O44" s="5" t="s">
        <v>5</v>
      </c>
      <c r="P44" s="5"/>
      <c r="Q44" s="5"/>
      <c r="R44" s="11"/>
      <c r="S44" s="11"/>
      <c r="T44" s="13"/>
      <c r="U44" s="11" t="s">
        <v>479</v>
      </c>
    </row>
    <row r="45" spans="1:21" ht="72" customHeight="1">
      <c r="A45" s="7">
        <v>39</v>
      </c>
      <c r="B45" s="7" t="s">
        <v>480</v>
      </c>
      <c r="C45" s="7" t="s">
        <v>481</v>
      </c>
      <c r="D45" s="7" t="s">
        <v>482</v>
      </c>
      <c r="E45" s="3" t="s">
        <v>423</v>
      </c>
      <c r="F45" s="3" t="s">
        <v>483</v>
      </c>
      <c r="G45" s="9" t="s">
        <v>10</v>
      </c>
      <c r="H45" s="9" t="s">
        <v>286</v>
      </c>
      <c r="I45" s="9" t="s">
        <v>199</v>
      </c>
      <c r="J45" s="9" t="s">
        <v>425</v>
      </c>
      <c r="K45" s="3" t="s">
        <v>426</v>
      </c>
      <c r="L45" s="3" t="s">
        <v>427</v>
      </c>
      <c r="M45" s="3" t="s">
        <v>484</v>
      </c>
      <c r="N45" s="3" t="s">
        <v>485</v>
      </c>
      <c r="O45" s="5" t="s">
        <v>5</v>
      </c>
      <c r="P45" s="5"/>
      <c r="Q45" s="5"/>
      <c r="R45" s="11"/>
      <c r="S45" s="11"/>
      <c r="T45" s="13"/>
      <c r="U45" s="11" t="s">
        <v>486</v>
      </c>
    </row>
    <row r="46" spans="1:21" ht="72" customHeight="1">
      <c r="A46" s="7">
        <v>40</v>
      </c>
      <c r="B46" s="7" t="s">
        <v>487</v>
      </c>
      <c r="C46" s="7" t="s">
        <v>488</v>
      </c>
      <c r="D46" s="7" t="s">
        <v>489</v>
      </c>
      <c r="E46" s="3" t="s">
        <v>423</v>
      </c>
      <c r="F46" s="3" t="s">
        <v>490</v>
      </c>
      <c r="G46" s="9" t="s">
        <v>10</v>
      </c>
      <c r="H46" s="9" t="s">
        <v>286</v>
      </c>
      <c r="I46" s="9" t="s">
        <v>199</v>
      </c>
      <c r="J46" s="9" t="s">
        <v>425</v>
      </c>
      <c r="K46" s="3" t="s">
        <v>426</v>
      </c>
      <c r="L46" s="3" t="s">
        <v>427</v>
      </c>
      <c r="M46" s="3" t="s">
        <v>491</v>
      </c>
      <c r="N46" s="3" t="s">
        <v>492</v>
      </c>
      <c r="O46" s="5" t="s">
        <v>5</v>
      </c>
      <c r="P46" s="5"/>
      <c r="Q46" s="5"/>
      <c r="R46" s="11"/>
      <c r="S46" s="11"/>
      <c r="T46" s="13"/>
      <c r="U46" s="11" t="s">
        <v>493</v>
      </c>
    </row>
    <row r="47" spans="1:21" ht="72" customHeight="1">
      <c r="A47" s="7">
        <v>41</v>
      </c>
      <c r="B47" s="7" t="s">
        <v>494</v>
      </c>
      <c r="C47" s="7" t="s">
        <v>495</v>
      </c>
      <c r="D47" s="7" t="s">
        <v>496</v>
      </c>
      <c r="E47" s="3" t="s">
        <v>423</v>
      </c>
      <c r="F47" s="3" t="s">
        <v>497</v>
      </c>
      <c r="G47" s="9" t="s">
        <v>11</v>
      </c>
      <c r="H47" s="9" t="s">
        <v>286</v>
      </c>
      <c r="I47" s="9" t="s">
        <v>199</v>
      </c>
      <c r="J47" s="9" t="s">
        <v>425</v>
      </c>
      <c r="K47" s="3" t="s">
        <v>426</v>
      </c>
      <c r="L47" s="3" t="s">
        <v>427</v>
      </c>
      <c r="M47" s="3" t="s">
        <v>498</v>
      </c>
      <c r="N47" s="3" t="s">
        <v>499</v>
      </c>
      <c r="O47" s="5" t="s">
        <v>5</v>
      </c>
      <c r="P47" s="5"/>
      <c r="Q47" s="5"/>
      <c r="R47" s="11"/>
      <c r="S47" s="11"/>
      <c r="T47" s="13"/>
      <c r="U47" s="11" t="s">
        <v>500</v>
      </c>
    </row>
    <row r="48" spans="1:21" ht="72" customHeight="1">
      <c r="A48" s="7">
        <v>42</v>
      </c>
      <c r="B48" s="7" t="s">
        <v>501</v>
      </c>
      <c r="C48" s="7" t="s">
        <v>502</v>
      </c>
      <c r="D48" s="7" t="s">
        <v>503</v>
      </c>
      <c r="E48" s="3" t="s">
        <v>423</v>
      </c>
      <c r="F48" s="3" t="s">
        <v>504</v>
      </c>
      <c r="G48" s="9" t="s">
        <v>11</v>
      </c>
      <c r="H48" s="9" t="s">
        <v>286</v>
      </c>
      <c r="I48" s="9" t="s">
        <v>199</v>
      </c>
      <c r="J48" s="9" t="s">
        <v>425</v>
      </c>
      <c r="K48" s="3" t="s">
        <v>426</v>
      </c>
      <c r="L48" s="3" t="s">
        <v>427</v>
      </c>
      <c r="M48" s="3" t="s">
        <v>505</v>
      </c>
      <c r="N48" s="3" t="s">
        <v>506</v>
      </c>
      <c r="O48" s="5" t="s">
        <v>5</v>
      </c>
      <c r="P48" s="5"/>
      <c r="Q48" s="5"/>
      <c r="R48" s="11"/>
      <c r="S48" s="11"/>
      <c r="T48" s="13"/>
      <c r="U48" s="11" t="s">
        <v>507</v>
      </c>
    </row>
    <row r="49" spans="1:21" ht="72" customHeight="1">
      <c r="A49" s="7">
        <v>43</v>
      </c>
      <c r="B49" s="7" t="s">
        <v>508</v>
      </c>
      <c r="C49" s="7" t="s">
        <v>509</v>
      </c>
      <c r="D49" s="7" t="s">
        <v>510</v>
      </c>
      <c r="E49" s="3" t="s">
        <v>511</v>
      </c>
      <c r="F49" s="3" t="s">
        <v>512</v>
      </c>
      <c r="G49" s="9" t="s">
        <v>10</v>
      </c>
      <c r="H49" s="9" t="s">
        <v>249</v>
      </c>
      <c r="I49" s="9" t="s">
        <v>199</v>
      </c>
      <c r="J49" s="9" t="s">
        <v>232</v>
      </c>
      <c r="K49" s="3" t="s">
        <v>513</v>
      </c>
      <c r="L49" s="3" t="s">
        <v>514</v>
      </c>
      <c r="M49" s="3" t="s">
        <v>515</v>
      </c>
      <c r="N49" s="3" t="s">
        <v>516</v>
      </c>
      <c r="O49" s="5" t="s">
        <v>5</v>
      </c>
      <c r="P49" s="5"/>
      <c r="Q49" s="5"/>
      <c r="R49" s="11"/>
      <c r="S49" s="11"/>
      <c r="T49" s="13"/>
      <c r="U49" s="11" t="s">
        <v>517</v>
      </c>
    </row>
    <row r="50" spans="1:21" ht="72" customHeight="1">
      <c r="A50" s="7">
        <v>44</v>
      </c>
      <c r="B50" s="7" t="s">
        <v>518</v>
      </c>
      <c r="C50" s="7" t="s">
        <v>519</v>
      </c>
      <c r="D50" s="7" t="s">
        <v>520</v>
      </c>
      <c r="E50" s="3" t="s">
        <v>511</v>
      </c>
      <c r="F50" s="3" t="s">
        <v>521</v>
      </c>
      <c r="G50" s="9" t="s">
        <v>10</v>
      </c>
      <c r="H50" s="9" t="s">
        <v>249</v>
      </c>
      <c r="I50" s="9" t="s">
        <v>199</v>
      </c>
      <c r="J50" s="9" t="s">
        <v>232</v>
      </c>
      <c r="K50" s="3" t="s">
        <v>513</v>
      </c>
      <c r="L50" s="3" t="s">
        <v>514</v>
      </c>
      <c r="M50" s="3" t="s">
        <v>522</v>
      </c>
      <c r="N50" s="3" t="s">
        <v>523</v>
      </c>
      <c r="O50" s="5" t="s">
        <v>5</v>
      </c>
      <c r="P50" s="5"/>
      <c r="Q50" s="5"/>
      <c r="R50" s="11"/>
      <c r="S50" s="11"/>
      <c r="T50" s="13"/>
      <c r="U50" s="11" t="s">
        <v>524</v>
      </c>
    </row>
    <row r="51" spans="1:21" ht="72" customHeight="1">
      <c r="A51" s="7">
        <v>45</v>
      </c>
      <c r="B51" s="7" t="s">
        <v>525</v>
      </c>
      <c r="C51" s="7" t="s">
        <v>526</v>
      </c>
      <c r="D51" s="7" t="s">
        <v>527</v>
      </c>
      <c r="E51" s="3" t="s">
        <v>511</v>
      </c>
      <c r="F51" s="3" t="s">
        <v>528</v>
      </c>
      <c r="G51" s="9" t="s">
        <v>10</v>
      </c>
      <c r="H51" s="9" t="s">
        <v>249</v>
      </c>
      <c r="I51" s="9" t="s">
        <v>199</v>
      </c>
      <c r="J51" s="9" t="s">
        <v>232</v>
      </c>
      <c r="K51" s="3" t="s">
        <v>513</v>
      </c>
      <c r="L51" s="3" t="s">
        <v>514</v>
      </c>
      <c r="M51" s="3" t="s">
        <v>529</v>
      </c>
      <c r="N51" s="3" t="s">
        <v>530</v>
      </c>
      <c r="O51" s="5" t="s">
        <v>5</v>
      </c>
      <c r="P51" s="5"/>
      <c r="Q51" s="5"/>
      <c r="R51" s="11"/>
      <c r="S51" s="11"/>
      <c r="T51" s="13"/>
      <c r="U51" s="11" t="s">
        <v>531</v>
      </c>
    </row>
    <row r="52" spans="1:21" ht="72" customHeight="1">
      <c r="A52" s="7">
        <v>46</v>
      </c>
      <c r="B52" s="7" t="s">
        <v>532</v>
      </c>
      <c r="C52" s="7" t="s">
        <v>533</v>
      </c>
      <c r="D52" s="7" t="s">
        <v>534</v>
      </c>
      <c r="E52" s="3" t="s">
        <v>511</v>
      </c>
      <c r="F52" s="3" t="s">
        <v>535</v>
      </c>
      <c r="G52" s="9" t="s">
        <v>10</v>
      </c>
      <c r="H52" s="9" t="s">
        <v>249</v>
      </c>
      <c r="I52" s="9" t="s">
        <v>199</v>
      </c>
      <c r="J52" s="9" t="s">
        <v>232</v>
      </c>
      <c r="K52" s="3" t="s">
        <v>513</v>
      </c>
      <c r="L52" s="3" t="s">
        <v>514</v>
      </c>
      <c r="M52" s="3" t="s">
        <v>536</v>
      </c>
      <c r="N52" s="3" t="s">
        <v>537</v>
      </c>
      <c r="O52" s="5" t="s">
        <v>5</v>
      </c>
      <c r="P52" s="5"/>
      <c r="Q52" s="5"/>
      <c r="R52" s="11"/>
      <c r="S52" s="11"/>
      <c r="T52" s="13"/>
      <c r="U52" s="11" t="s">
        <v>538</v>
      </c>
    </row>
    <row r="53" spans="1:21" ht="72" customHeight="1">
      <c r="A53" s="7">
        <v>47</v>
      </c>
      <c r="B53" s="7" t="s">
        <v>539</v>
      </c>
      <c r="C53" s="7" t="s">
        <v>540</v>
      </c>
      <c r="D53" s="7" t="s">
        <v>541</v>
      </c>
      <c r="E53" s="3" t="s">
        <v>511</v>
      </c>
      <c r="F53" s="3" t="s">
        <v>542</v>
      </c>
      <c r="G53" s="9" t="s">
        <v>10</v>
      </c>
      <c r="H53" s="9" t="s">
        <v>249</v>
      </c>
      <c r="I53" s="9" t="s">
        <v>199</v>
      </c>
      <c r="J53" s="9" t="s">
        <v>232</v>
      </c>
      <c r="K53" s="3" t="s">
        <v>513</v>
      </c>
      <c r="L53" s="3" t="s">
        <v>514</v>
      </c>
      <c r="M53" s="3" t="s">
        <v>543</v>
      </c>
      <c r="N53" s="3" t="s">
        <v>544</v>
      </c>
      <c r="O53" s="5" t="s">
        <v>5</v>
      </c>
      <c r="P53" s="5"/>
      <c r="Q53" s="5"/>
      <c r="R53" s="11"/>
      <c r="S53" s="11"/>
      <c r="T53" s="13"/>
      <c r="U53" s="11" t="s">
        <v>545</v>
      </c>
    </row>
    <row r="54" spans="1:21" ht="72" customHeight="1">
      <c r="A54" s="7">
        <v>48</v>
      </c>
      <c r="B54" s="7" t="s">
        <v>546</v>
      </c>
      <c r="C54" s="7" t="s">
        <v>547</v>
      </c>
      <c r="D54" s="7" t="s">
        <v>548</v>
      </c>
      <c r="E54" s="3" t="s">
        <v>511</v>
      </c>
      <c r="F54" s="3" t="s">
        <v>549</v>
      </c>
      <c r="G54" s="9" t="s">
        <v>10</v>
      </c>
      <c r="H54" s="9" t="s">
        <v>249</v>
      </c>
      <c r="I54" s="9" t="s">
        <v>199</v>
      </c>
      <c r="J54" s="9" t="s">
        <v>232</v>
      </c>
      <c r="K54" s="3" t="s">
        <v>513</v>
      </c>
      <c r="L54" s="3" t="s">
        <v>514</v>
      </c>
      <c r="M54" s="3" t="s">
        <v>550</v>
      </c>
      <c r="N54" s="3" t="s">
        <v>551</v>
      </c>
      <c r="O54" s="5" t="s">
        <v>5</v>
      </c>
      <c r="P54" s="5"/>
      <c r="Q54" s="5"/>
      <c r="R54" s="11"/>
      <c r="S54" s="11"/>
      <c r="T54" s="13"/>
      <c r="U54" s="11" t="s">
        <v>552</v>
      </c>
    </row>
    <row r="55" spans="1:21" ht="72" customHeight="1">
      <c r="A55" s="7">
        <v>49</v>
      </c>
      <c r="B55" s="7" t="s">
        <v>553</v>
      </c>
      <c r="C55" s="7" t="s">
        <v>554</v>
      </c>
      <c r="D55" s="7" t="s">
        <v>555</v>
      </c>
      <c r="E55" s="3" t="s">
        <v>511</v>
      </c>
      <c r="F55" s="3" t="s">
        <v>556</v>
      </c>
      <c r="G55" s="9" t="s">
        <v>10</v>
      </c>
      <c r="H55" s="9" t="s">
        <v>249</v>
      </c>
      <c r="I55" s="9" t="s">
        <v>199</v>
      </c>
      <c r="J55" s="9" t="s">
        <v>232</v>
      </c>
      <c r="K55" s="3" t="s">
        <v>513</v>
      </c>
      <c r="L55" s="3" t="s">
        <v>514</v>
      </c>
      <c r="M55" s="3" t="s">
        <v>557</v>
      </c>
      <c r="N55" s="3" t="s">
        <v>558</v>
      </c>
      <c r="O55" s="5" t="s">
        <v>5</v>
      </c>
      <c r="P55" s="5"/>
      <c r="Q55" s="5"/>
      <c r="R55" s="11"/>
      <c r="S55" s="11"/>
      <c r="T55" s="13"/>
      <c r="U55" s="11" t="s">
        <v>559</v>
      </c>
    </row>
    <row r="56" spans="1:21" ht="72" customHeight="1">
      <c r="A56" s="7">
        <v>50</v>
      </c>
      <c r="B56" s="7" t="s">
        <v>560</v>
      </c>
      <c r="C56" s="7" t="s">
        <v>561</v>
      </c>
      <c r="D56" s="7" t="s">
        <v>562</v>
      </c>
      <c r="E56" s="3" t="s">
        <v>511</v>
      </c>
      <c r="F56" s="3" t="s">
        <v>563</v>
      </c>
      <c r="G56" s="9" t="s">
        <v>10</v>
      </c>
      <c r="H56" s="9" t="s">
        <v>249</v>
      </c>
      <c r="I56" s="9" t="s">
        <v>199</v>
      </c>
      <c r="J56" s="9" t="s">
        <v>232</v>
      </c>
      <c r="K56" s="3" t="s">
        <v>513</v>
      </c>
      <c r="L56" s="3" t="s">
        <v>514</v>
      </c>
      <c r="M56" s="3" t="s">
        <v>564</v>
      </c>
      <c r="N56" s="3" t="s">
        <v>565</v>
      </c>
      <c r="O56" s="5" t="s">
        <v>5</v>
      </c>
      <c r="P56" s="5"/>
      <c r="Q56" s="5"/>
      <c r="R56" s="11"/>
      <c r="S56" s="11"/>
      <c r="T56" s="13"/>
      <c r="U56" s="11" t="s">
        <v>566</v>
      </c>
    </row>
    <row r="57" spans="1:21" ht="72" customHeight="1">
      <c r="A57" s="7">
        <v>51</v>
      </c>
      <c r="B57" s="7" t="s">
        <v>567</v>
      </c>
      <c r="C57" s="7" t="s">
        <v>568</v>
      </c>
      <c r="D57" s="7" t="s">
        <v>569</v>
      </c>
      <c r="E57" s="3" t="s">
        <v>511</v>
      </c>
      <c r="F57" s="3" t="s">
        <v>570</v>
      </c>
      <c r="G57" s="9" t="s">
        <v>11</v>
      </c>
      <c r="H57" s="9" t="s">
        <v>249</v>
      </c>
      <c r="I57" s="9" t="s">
        <v>199</v>
      </c>
      <c r="J57" s="9" t="s">
        <v>232</v>
      </c>
      <c r="K57" s="3" t="s">
        <v>513</v>
      </c>
      <c r="L57" s="3" t="s">
        <v>514</v>
      </c>
      <c r="M57" s="3" t="s">
        <v>571</v>
      </c>
      <c r="N57" s="3" t="s">
        <v>572</v>
      </c>
      <c r="O57" s="5" t="s">
        <v>5</v>
      </c>
      <c r="P57" s="5"/>
      <c r="Q57" s="5"/>
      <c r="R57" s="11"/>
      <c r="S57" s="11"/>
      <c r="T57" s="13"/>
      <c r="U57" s="11" t="s">
        <v>573</v>
      </c>
    </row>
    <row r="58" spans="1:21" ht="72" customHeight="1">
      <c r="A58" s="7">
        <v>52</v>
      </c>
      <c r="B58" s="7" t="s">
        <v>574</v>
      </c>
      <c r="C58" s="7" t="s">
        <v>575</v>
      </c>
      <c r="D58" s="7" t="s">
        <v>576</v>
      </c>
      <c r="E58" s="3" t="s">
        <v>511</v>
      </c>
      <c r="F58" s="3" t="s">
        <v>577</v>
      </c>
      <c r="G58" s="9" t="s">
        <v>10</v>
      </c>
      <c r="H58" s="9" t="s">
        <v>249</v>
      </c>
      <c r="I58" s="9" t="s">
        <v>199</v>
      </c>
      <c r="J58" s="9" t="s">
        <v>232</v>
      </c>
      <c r="K58" s="3" t="s">
        <v>513</v>
      </c>
      <c r="L58" s="3" t="s">
        <v>514</v>
      </c>
      <c r="M58" s="3" t="s">
        <v>578</v>
      </c>
      <c r="N58" s="3" t="s">
        <v>579</v>
      </c>
      <c r="O58" s="5" t="s">
        <v>5</v>
      </c>
      <c r="P58" s="5"/>
      <c r="Q58" s="5"/>
      <c r="R58" s="11"/>
      <c r="S58" s="11"/>
      <c r="T58" s="13"/>
      <c r="U58" s="11" t="s">
        <v>580</v>
      </c>
    </row>
    <row r="59" spans="1:21" ht="72" customHeight="1">
      <c r="A59" s="7">
        <v>53</v>
      </c>
      <c r="B59" s="7" t="s">
        <v>581</v>
      </c>
      <c r="C59" s="7" t="s">
        <v>582</v>
      </c>
      <c r="D59" s="7" t="s">
        <v>583</v>
      </c>
      <c r="E59" s="3" t="s">
        <v>511</v>
      </c>
      <c r="F59" s="3" t="s">
        <v>584</v>
      </c>
      <c r="G59" s="9" t="s">
        <v>11</v>
      </c>
      <c r="H59" s="9" t="s">
        <v>249</v>
      </c>
      <c r="I59" s="9" t="s">
        <v>199</v>
      </c>
      <c r="J59" s="9" t="s">
        <v>232</v>
      </c>
      <c r="K59" s="3" t="s">
        <v>513</v>
      </c>
      <c r="L59" s="3" t="s">
        <v>514</v>
      </c>
      <c r="M59" s="3" t="s">
        <v>585</v>
      </c>
      <c r="N59" s="3" t="s">
        <v>586</v>
      </c>
      <c r="O59" s="5" t="s">
        <v>5</v>
      </c>
      <c r="P59" s="5"/>
      <c r="Q59" s="5"/>
      <c r="R59" s="11"/>
      <c r="S59" s="11"/>
      <c r="T59" s="13"/>
      <c r="U59" s="11" t="s">
        <v>587</v>
      </c>
    </row>
    <row r="60" spans="1:21" ht="72" customHeight="1">
      <c r="A60" s="7">
        <v>54</v>
      </c>
      <c r="B60" s="7" t="s">
        <v>588</v>
      </c>
      <c r="C60" s="7" t="s">
        <v>589</v>
      </c>
      <c r="D60" s="7" t="s">
        <v>590</v>
      </c>
      <c r="E60" s="3" t="s">
        <v>511</v>
      </c>
      <c r="F60" s="3" t="s">
        <v>591</v>
      </c>
      <c r="G60" s="9" t="s">
        <v>10</v>
      </c>
      <c r="H60" s="9" t="s">
        <v>249</v>
      </c>
      <c r="I60" s="9" t="s">
        <v>199</v>
      </c>
      <c r="J60" s="9" t="s">
        <v>232</v>
      </c>
      <c r="K60" s="3" t="s">
        <v>513</v>
      </c>
      <c r="L60" s="3" t="s">
        <v>514</v>
      </c>
      <c r="M60" s="3" t="s">
        <v>592</v>
      </c>
      <c r="N60" s="3" t="s">
        <v>593</v>
      </c>
      <c r="O60" s="5" t="s">
        <v>5</v>
      </c>
      <c r="P60" s="5"/>
      <c r="Q60" s="5"/>
      <c r="R60" s="11"/>
      <c r="S60" s="11"/>
      <c r="T60" s="13"/>
      <c r="U60" s="11" t="s">
        <v>594</v>
      </c>
    </row>
    <row r="61" spans="1:21" ht="72" customHeight="1">
      <c r="A61" s="7">
        <v>55</v>
      </c>
      <c r="B61" s="7" t="s">
        <v>595</v>
      </c>
      <c r="C61" s="7" t="s">
        <v>596</v>
      </c>
      <c r="D61" s="7" t="s">
        <v>195</v>
      </c>
      <c r="E61" s="3" t="s">
        <v>597</v>
      </c>
      <c r="F61" s="3" t="s">
        <v>598</v>
      </c>
      <c r="G61" s="9" t="s">
        <v>10</v>
      </c>
      <c r="H61" s="9" t="s">
        <v>249</v>
      </c>
      <c r="I61" s="9" t="s">
        <v>199</v>
      </c>
      <c r="J61" s="9" t="s">
        <v>232</v>
      </c>
      <c r="K61" s="3" t="s">
        <v>513</v>
      </c>
      <c r="L61" s="3" t="s">
        <v>599</v>
      </c>
      <c r="M61" s="3" t="s">
        <v>600</v>
      </c>
      <c r="N61" s="3" t="s">
        <v>601</v>
      </c>
      <c r="O61" s="5" t="s">
        <v>5</v>
      </c>
      <c r="P61" s="5"/>
      <c r="Q61" s="5"/>
      <c r="R61" s="11"/>
      <c r="S61" s="11"/>
      <c r="T61" s="13"/>
      <c r="U61" s="11" t="s">
        <v>602</v>
      </c>
    </row>
    <row r="62" spans="1:21" ht="72" customHeight="1">
      <c r="A62" s="7">
        <v>56</v>
      </c>
      <c r="B62" s="7" t="s">
        <v>603</v>
      </c>
      <c r="C62" s="7" t="s">
        <v>604</v>
      </c>
      <c r="D62" s="7" t="s">
        <v>605</v>
      </c>
      <c r="E62" s="3" t="s">
        <v>597</v>
      </c>
      <c r="F62" s="3" t="s">
        <v>606</v>
      </c>
      <c r="G62" s="9" t="s">
        <v>10</v>
      </c>
      <c r="H62" s="9" t="s">
        <v>249</v>
      </c>
      <c r="I62" s="9" t="s">
        <v>199</v>
      </c>
      <c r="J62" s="9" t="s">
        <v>232</v>
      </c>
      <c r="K62" s="3" t="s">
        <v>513</v>
      </c>
      <c r="L62" s="3" t="s">
        <v>599</v>
      </c>
      <c r="M62" s="3" t="s">
        <v>607</v>
      </c>
      <c r="N62" s="3" t="s">
        <v>608</v>
      </c>
      <c r="O62" s="5" t="s">
        <v>5</v>
      </c>
      <c r="P62" s="5"/>
      <c r="Q62" s="5"/>
      <c r="R62" s="11"/>
      <c r="S62" s="11"/>
      <c r="T62" s="13"/>
      <c r="U62" s="11" t="s">
        <v>609</v>
      </c>
    </row>
    <row r="63" spans="1:21" ht="72" customHeight="1">
      <c r="A63" s="7">
        <v>57</v>
      </c>
      <c r="B63" s="7" t="s">
        <v>610</v>
      </c>
      <c r="C63" s="7" t="s">
        <v>611</v>
      </c>
      <c r="D63" s="7" t="s">
        <v>612</v>
      </c>
      <c r="E63" s="3" t="s">
        <v>597</v>
      </c>
      <c r="F63" s="3" t="s">
        <v>613</v>
      </c>
      <c r="G63" s="9" t="s">
        <v>10</v>
      </c>
      <c r="H63" s="9" t="s">
        <v>249</v>
      </c>
      <c r="I63" s="9" t="s">
        <v>199</v>
      </c>
      <c r="J63" s="9" t="s">
        <v>232</v>
      </c>
      <c r="K63" s="3" t="s">
        <v>513</v>
      </c>
      <c r="L63" s="3" t="s">
        <v>599</v>
      </c>
      <c r="M63" s="3" t="s">
        <v>614</v>
      </c>
      <c r="N63" s="3" t="s">
        <v>615</v>
      </c>
      <c r="O63" s="5" t="s">
        <v>5</v>
      </c>
      <c r="P63" s="5"/>
      <c r="Q63" s="5"/>
      <c r="R63" s="11"/>
      <c r="S63" s="11"/>
      <c r="T63" s="13"/>
      <c r="U63" s="11" t="s">
        <v>616</v>
      </c>
    </row>
    <row r="64" spans="1:21" ht="72" customHeight="1">
      <c r="A64" s="7">
        <v>58</v>
      </c>
      <c r="B64" s="7" t="s">
        <v>617</v>
      </c>
      <c r="C64" s="7" t="s">
        <v>618</v>
      </c>
      <c r="D64" s="7" t="s">
        <v>619</v>
      </c>
      <c r="E64" s="3" t="s">
        <v>597</v>
      </c>
      <c r="F64" s="3" t="s">
        <v>620</v>
      </c>
      <c r="G64" s="9" t="s">
        <v>10</v>
      </c>
      <c r="H64" s="9" t="s">
        <v>249</v>
      </c>
      <c r="I64" s="9" t="s">
        <v>199</v>
      </c>
      <c r="J64" s="9" t="s">
        <v>232</v>
      </c>
      <c r="K64" s="3" t="s">
        <v>513</v>
      </c>
      <c r="L64" s="3" t="s">
        <v>599</v>
      </c>
      <c r="M64" s="3" t="s">
        <v>621</v>
      </c>
      <c r="N64" s="3" t="s">
        <v>622</v>
      </c>
      <c r="O64" s="5" t="s">
        <v>5</v>
      </c>
      <c r="P64" s="5"/>
      <c r="Q64" s="5"/>
      <c r="R64" s="11"/>
      <c r="S64" s="11"/>
      <c r="T64" s="13"/>
      <c r="U64" s="11" t="s">
        <v>623</v>
      </c>
    </row>
    <row r="65" spans="1:21" ht="72" customHeight="1">
      <c r="A65" s="7">
        <v>59</v>
      </c>
      <c r="B65" s="7" t="s">
        <v>624</v>
      </c>
      <c r="C65" s="7" t="s">
        <v>625</v>
      </c>
      <c r="D65" s="7" t="s">
        <v>626</v>
      </c>
      <c r="E65" s="3" t="s">
        <v>597</v>
      </c>
      <c r="F65" s="3" t="s">
        <v>627</v>
      </c>
      <c r="G65" s="9" t="s">
        <v>10</v>
      </c>
      <c r="H65" s="9" t="s">
        <v>249</v>
      </c>
      <c r="I65" s="9" t="s">
        <v>199</v>
      </c>
      <c r="J65" s="9" t="s">
        <v>232</v>
      </c>
      <c r="K65" s="3" t="s">
        <v>513</v>
      </c>
      <c r="L65" s="3" t="s">
        <v>599</v>
      </c>
      <c r="M65" s="3" t="s">
        <v>628</v>
      </c>
      <c r="N65" s="3" t="s">
        <v>629</v>
      </c>
      <c r="O65" s="5" t="s">
        <v>5</v>
      </c>
      <c r="P65" s="5"/>
      <c r="Q65" s="5"/>
      <c r="R65" s="11"/>
      <c r="S65" s="11"/>
      <c r="T65" s="13"/>
      <c r="U65" s="11" t="s">
        <v>630</v>
      </c>
    </row>
    <row r="66" spans="1:21" ht="72" customHeight="1">
      <c r="A66" s="7">
        <v>60</v>
      </c>
      <c r="B66" s="7" t="s">
        <v>631</v>
      </c>
      <c r="C66" s="7" t="s">
        <v>632</v>
      </c>
      <c r="D66" s="7" t="s">
        <v>633</v>
      </c>
      <c r="E66" s="3" t="s">
        <v>597</v>
      </c>
      <c r="F66" s="3" t="s">
        <v>634</v>
      </c>
      <c r="G66" s="9" t="s">
        <v>10</v>
      </c>
      <c r="H66" s="9" t="s">
        <v>331</v>
      </c>
      <c r="I66" s="9" t="s">
        <v>199</v>
      </c>
      <c r="J66" s="9" t="s">
        <v>232</v>
      </c>
      <c r="K66" s="3" t="s">
        <v>513</v>
      </c>
      <c r="L66" s="3" t="s">
        <v>599</v>
      </c>
      <c r="M66" s="3" t="s">
        <v>635</v>
      </c>
      <c r="N66" s="3" t="s">
        <v>636</v>
      </c>
      <c r="O66" s="5" t="s">
        <v>5</v>
      </c>
      <c r="P66" s="5"/>
      <c r="Q66" s="5"/>
      <c r="R66" s="11"/>
      <c r="S66" s="11"/>
      <c r="T66" s="13"/>
      <c r="U66" s="11" t="s">
        <v>637</v>
      </c>
    </row>
    <row r="67" spans="1:21" ht="72" customHeight="1">
      <c r="A67" s="7">
        <v>61</v>
      </c>
      <c r="B67" s="7" t="s">
        <v>638</v>
      </c>
      <c r="C67" s="7" t="s">
        <v>639</v>
      </c>
      <c r="D67" s="7" t="s">
        <v>640</v>
      </c>
      <c r="E67" s="3" t="s">
        <v>597</v>
      </c>
      <c r="F67" s="3" t="s">
        <v>641</v>
      </c>
      <c r="G67" s="9" t="s">
        <v>11</v>
      </c>
      <c r="H67" s="9" t="s">
        <v>331</v>
      </c>
      <c r="I67" s="9" t="s">
        <v>199</v>
      </c>
      <c r="J67" s="9" t="s">
        <v>232</v>
      </c>
      <c r="K67" s="3" t="s">
        <v>513</v>
      </c>
      <c r="L67" s="3" t="s">
        <v>599</v>
      </c>
      <c r="M67" s="3" t="s">
        <v>642</v>
      </c>
      <c r="N67" s="3" t="s">
        <v>643</v>
      </c>
      <c r="O67" s="5" t="s">
        <v>5</v>
      </c>
      <c r="P67" s="5"/>
      <c r="Q67" s="5"/>
      <c r="R67" s="11"/>
      <c r="S67" s="11"/>
      <c r="T67" s="13"/>
      <c r="U67" s="11" t="s">
        <v>644</v>
      </c>
    </row>
    <row r="68" spans="1:21" ht="72" customHeight="1">
      <c r="A68" s="7">
        <v>62</v>
      </c>
      <c r="B68" s="7" t="s">
        <v>645</v>
      </c>
      <c r="C68" s="7" t="s">
        <v>646</v>
      </c>
      <c r="D68" s="7" t="s">
        <v>647</v>
      </c>
      <c r="E68" s="3" t="s">
        <v>597</v>
      </c>
      <c r="F68" s="3" t="s">
        <v>648</v>
      </c>
      <c r="G68" s="9" t="s">
        <v>11</v>
      </c>
      <c r="H68" s="9" t="s">
        <v>249</v>
      </c>
      <c r="I68" s="9" t="s">
        <v>199</v>
      </c>
      <c r="J68" s="9" t="s">
        <v>232</v>
      </c>
      <c r="K68" s="3" t="s">
        <v>513</v>
      </c>
      <c r="L68" s="3" t="s">
        <v>599</v>
      </c>
      <c r="M68" s="3" t="s">
        <v>649</v>
      </c>
      <c r="N68" s="3" t="s">
        <v>650</v>
      </c>
      <c r="O68" s="5" t="s">
        <v>5</v>
      </c>
      <c r="P68" s="5"/>
      <c r="Q68" s="5"/>
      <c r="R68" s="11"/>
      <c r="S68" s="11"/>
      <c r="T68" s="13"/>
      <c r="U68" s="11" t="s">
        <v>651</v>
      </c>
    </row>
    <row r="69" spans="1:21" ht="72" customHeight="1">
      <c r="A69" s="7">
        <v>63</v>
      </c>
      <c r="B69" s="7" t="s">
        <v>652</v>
      </c>
      <c r="C69" s="7" t="s">
        <v>653</v>
      </c>
      <c r="D69" s="7" t="s">
        <v>654</v>
      </c>
      <c r="E69" s="3" t="s">
        <v>655</v>
      </c>
      <c r="F69" s="3" t="s">
        <v>656</v>
      </c>
      <c r="G69" s="9" t="s">
        <v>10</v>
      </c>
      <c r="H69" s="9" t="s">
        <v>249</v>
      </c>
      <c r="I69" s="9" t="s">
        <v>199</v>
      </c>
      <c r="J69" s="9" t="s">
        <v>232</v>
      </c>
      <c r="K69" s="3" t="s">
        <v>513</v>
      </c>
      <c r="L69" s="3" t="s">
        <v>657</v>
      </c>
      <c r="M69" s="3" t="s">
        <v>658</v>
      </c>
      <c r="N69" s="3" t="s">
        <v>659</v>
      </c>
      <c r="O69" s="5" t="s">
        <v>5</v>
      </c>
      <c r="P69" s="5"/>
      <c r="Q69" s="5"/>
      <c r="R69" s="11"/>
      <c r="S69" s="11"/>
      <c r="T69" s="13"/>
      <c r="U69" s="11" t="s">
        <v>660</v>
      </c>
    </row>
    <row r="70" spans="1:21" ht="72" customHeight="1">
      <c r="A70" s="7">
        <v>64</v>
      </c>
      <c r="B70" s="7" t="s">
        <v>661</v>
      </c>
      <c r="C70" s="7" t="s">
        <v>662</v>
      </c>
      <c r="D70" s="7" t="s">
        <v>663</v>
      </c>
      <c r="E70" s="3" t="s">
        <v>655</v>
      </c>
      <c r="F70" s="3" t="s">
        <v>664</v>
      </c>
      <c r="G70" s="9" t="s">
        <v>11</v>
      </c>
      <c r="H70" s="9" t="s">
        <v>249</v>
      </c>
      <c r="I70" s="9" t="s">
        <v>199</v>
      </c>
      <c r="J70" s="9" t="s">
        <v>232</v>
      </c>
      <c r="K70" s="3" t="s">
        <v>513</v>
      </c>
      <c r="L70" s="3" t="s">
        <v>657</v>
      </c>
      <c r="M70" s="3" t="s">
        <v>665</v>
      </c>
      <c r="N70" s="3" t="s">
        <v>666</v>
      </c>
      <c r="O70" s="5" t="s">
        <v>5</v>
      </c>
      <c r="P70" s="5"/>
      <c r="Q70" s="5"/>
      <c r="R70" s="11"/>
      <c r="S70" s="11"/>
      <c r="T70" s="13"/>
      <c r="U70" s="11" t="s">
        <v>667</v>
      </c>
    </row>
    <row r="71" spans="1:21" ht="72" customHeight="1">
      <c r="A71" s="7">
        <v>65</v>
      </c>
      <c r="B71" s="7" t="s">
        <v>668</v>
      </c>
      <c r="C71" s="7" t="s">
        <v>669</v>
      </c>
      <c r="D71" s="7" t="s">
        <v>670</v>
      </c>
      <c r="E71" s="3" t="s">
        <v>655</v>
      </c>
      <c r="F71" s="3" t="s">
        <v>671</v>
      </c>
      <c r="G71" s="9" t="s">
        <v>10</v>
      </c>
      <c r="H71" s="9" t="s">
        <v>249</v>
      </c>
      <c r="I71" s="9" t="s">
        <v>199</v>
      </c>
      <c r="J71" s="9" t="s">
        <v>232</v>
      </c>
      <c r="K71" s="3" t="s">
        <v>513</v>
      </c>
      <c r="L71" s="3" t="s">
        <v>657</v>
      </c>
      <c r="M71" s="3" t="s">
        <v>672</v>
      </c>
      <c r="N71" s="3" t="s">
        <v>673</v>
      </c>
      <c r="O71" s="5" t="s">
        <v>5</v>
      </c>
      <c r="P71" s="5"/>
      <c r="Q71" s="5"/>
      <c r="R71" s="11"/>
      <c r="S71" s="11"/>
      <c r="T71" s="13"/>
      <c r="U71" s="11" t="s">
        <v>674</v>
      </c>
    </row>
    <row r="72" spans="1:21" ht="72" customHeight="1">
      <c r="A72" s="7">
        <v>66</v>
      </c>
      <c r="B72" s="7" t="s">
        <v>675</v>
      </c>
      <c r="C72" s="7" t="s">
        <v>676</v>
      </c>
      <c r="D72" s="7" t="s">
        <v>677</v>
      </c>
      <c r="E72" s="3" t="s">
        <v>655</v>
      </c>
      <c r="F72" s="3" t="s">
        <v>678</v>
      </c>
      <c r="G72" s="9" t="s">
        <v>11</v>
      </c>
      <c r="H72" s="9" t="s">
        <v>249</v>
      </c>
      <c r="I72" s="9" t="s">
        <v>199</v>
      </c>
      <c r="J72" s="9" t="s">
        <v>232</v>
      </c>
      <c r="K72" s="3" t="s">
        <v>513</v>
      </c>
      <c r="L72" s="3" t="s">
        <v>657</v>
      </c>
      <c r="M72" s="3" t="s">
        <v>679</v>
      </c>
      <c r="N72" s="3" t="s">
        <v>680</v>
      </c>
      <c r="O72" s="5" t="s">
        <v>5</v>
      </c>
      <c r="P72" s="5"/>
      <c r="Q72" s="5"/>
      <c r="R72" s="11"/>
      <c r="S72" s="11"/>
      <c r="T72" s="13"/>
      <c r="U72" s="11" t="s">
        <v>681</v>
      </c>
    </row>
    <row r="73" spans="1:21" ht="72" customHeight="1">
      <c r="A73" s="7">
        <v>67</v>
      </c>
      <c r="B73" s="7" t="s">
        <v>682</v>
      </c>
      <c r="C73" s="7" t="s">
        <v>683</v>
      </c>
      <c r="D73" s="7" t="s">
        <v>684</v>
      </c>
      <c r="E73" s="3" t="s">
        <v>655</v>
      </c>
      <c r="F73" s="3" t="s">
        <v>685</v>
      </c>
      <c r="G73" s="9" t="s">
        <v>10</v>
      </c>
      <c r="H73" s="9" t="s">
        <v>249</v>
      </c>
      <c r="I73" s="9" t="s">
        <v>199</v>
      </c>
      <c r="J73" s="9" t="s">
        <v>232</v>
      </c>
      <c r="K73" s="3" t="s">
        <v>513</v>
      </c>
      <c r="L73" s="3" t="s">
        <v>657</v>
      </c>
      <c r="M73" s="3" t="s">
        <v>686</v>
      </c>
      <c r="N73" s="3" t="s">
        <v>687</v>
      </c>
      <c r="O73" s="5" t="s">
        <v>5</v>
      </c>
      <c r="P73" s="5"/>
      <c r="Q73" s="5"/>
      <c r="R73" s="11"/>
      <c r="S73" s="11"/>
      <c r="T73" s="13"/>
      <c r="U73" s="11" t="s">
        <v>688</v>
      </c>
    </row>
    <row r="74" spans="1:21" ht="72" customHeight="1">
      <c r="A74" s="7">
        <v>68</v>
      </c>
      <c r="B74" s="7" t="s">
        <v>689</v>
      </c>
      <c r="C74" s="7" t="s">
        <v>690</v>
      </c>
      <c r="D74" s="7" t="s">
        <v>691</v>
      </c>
      <c r="E74" s="3" t="s">
        <v>655</v>
      </c>
      <c r="F74" s="3" t="s">
        <v>692</v>
      </c>
      <c r="G74" s="9" t="s">
        <v>11</v>
      </c>
      <c r="H74" s="9" t="s">
        <v>249</v>
      </c>
      <c r="I74" s="9" t="s">
        <v>199</v>
      </c>
      <c r="J74" s="9" t="s">
        <v>232</v>
      </c>
      <c r="K74" s="3" t="s">
        <v>513</v>
      </c>
      <c r="L74" s="3" t="s">
        <v>657</v>
      </c>
      <c r="M74" s="3" t="s">
        <v>693</v>
      </c>
      <c r="N74" s="3" t="s">
        <v>694</v>
      </c>
      <c r="O74" s="5" t="s">
        <v>5</v>
      </c>
      <c r="P74" s="5"/>
      <c r="Q74" s="5"/>
      <c r="R74" s="11"/>
      <c r="S74" s="11"/>
      <c r="T74" s="13"/>
      <c r="U74" s="11" t="s">
        <v>695</v>
      </c>
    </row>
    <row r="75" spans="1:21" ht="72" customHeight="1">
      <c r="A75" s="7">
        <v>69</v>
      </c>
      <c r="B75" s="7" t="s">
        <v>696</v>
      </c>
      <c r="C75" s="7" t="s">
        <v>697</v>
      </c>
      <c r="D75" s="7" t="s">
        <v>698</v>
      </c>
      <c r="E75" s="3" t="s">
        <v>655</v>
      </c>
      <c r="F75" s="3" t="s">
        <v>699</v>
      </c>
      <c r="G75" s="9" t="s">
        <v>10</v>
      </c>
      <c r="H75" s="9" t="s">
        <v>249</v>
      </c>
      <c r="I75" s="9" t="s">
        <v>199</v>
      </c>
      <c r="J75" s="9" t="s">
        <v>232</v>
      </c>
      <c r="K75" s="3" t="s">
        <v>513</v>
      </c>
      <c r="L75" s="3" t="s">
        <v>657</v>
      </c>
      <c r="M75" s="3" t="s">
        <v>700</v>
      </c>
      <c r="N75" s="3" t="s">
        <v>701</v>
      </c>
      <c r="O75" s="5" t="s">
        <v>5</v>
      </c>
      <c r="P75" s="5"/>
      <c r="Q75" s="5"/>
      <c r="R75" s="11"/>
      <c r="S75" s="11"/>
      <c r="T75" s="13"/>
      <c r="U75" s="11" t="s">
        <v>702</v>
      </c>
    </row>
    <row r="76" spans="1:21" ht="72" customHeight="1">
      <c r="A76" s="7">
        <v>70</v>
      </c>
      <c r="B76" s="7" t="s">
        <v>703</v>
      </c>
      <c r="C76" s="7" t="s">
        <v>704</v>
      </c>
      <c r="D76" s="7" t="s">
        <v>705</v>
      </c>
      <c r="E76" s="3" t="s">
        <v>655</v>
      </c>
      <c r="F76" s="3" t="s">
        <v>706</v>
      </c>
      <c r="G76" s="9" t="s">
        <v>10</v>
      </c>
      <c r="H76" s="9" t="s">
        <v>249</v>
      </c>
      <c r="I76" s="9" t="s">
        <v>199</v>
      </c>
      <c r="J76" s="9" t="s">
        <v>232</v>
      </c>
      <c r="K76" s="3" t="s">
        <v>513</v>
      </c>
      <c r="L76" s="3" t="s">
        <v>657</v>
      </c>
      <c r="M76" s="3" t="s">
        <v>707</v>
      </c>
      <c r="N76" s="3" t="s">
        <v>708</v>
      </c>
      <c r="O76" s="5" t="s">
        <v>5</v>
      </c>
      <c r="P76" s="5"/>
      <c r="Q76" s="5"/>
      <c r="R76" s="11"/>
      <c r="S76" s="11"/>
      <c r="T76" s="13"/>
      <c r="U76" s="11" t="s">
        <v>709</v>
      </c>
    </row>
    <row r="77" spans="1:21" ht="72" customHeight="1">
      <c r="A77" s="7">
        <v>71</v>
      </c>
      <c r="B77" s="7" t="s">
        <v>710</v>
      </c>
      <c r="C77" s="7" t="s">
        <v>711</v>
      </c>
      <c r="D77" s="7" t="s">
        <v>712</v>
      </c>
      <c r="E77" s="3" t="s">
        <v>655</v>
      </c>
      <c r="F77" s="3" t="s">
        <v>713</v>
      </c>
      <c r="G77" s="9" t="s">
        <v>11</v>
      </c>
      <c r="H77" s="9" t="s">
        <v>249</v>
      </c>
      <c r="I77" s="9" t="s">
        <v>199</v>
      </c>
      <c r="J77" s="9" t="s">
        <v>232</v>
      </c>
      <c r="K77" s="3" t="s">
        <v>513</v>
      </c>
      <c r="L77" s="3" t="s">
        <v>657</v>
      </c>
      <c r="M77" s="3" t="s">
        <v>714</v>
      </c>
      <c r="N77" s="3" t="s">
        <v>715</v>
      </c>
      <c r="O77" s="5" t="s">
        <v>5</v>
      </c>
      <c r="P77" s="5"/>
      <c r="Q77" s="5"/>
      <c r="R77" s="11"/>
      <c r="S77" s="11"/>
      <c r="T77" s="13"/>
      <c r="U77" s="11" t="s">
        <v>716</v>
      </c>
    </row>
    <row r="78" spans="1:21" ht="72" customHeight="1">
      <c r="A78" s="7">
        <v>72</v>
      </c>
      <c r="B78" s="7" t="s">
        <v>717</v>
      </c>
      <c r="C78" s="7" t="s">
        <v>718</v>
      </c>
      <c r="D78" s="7" t="s">
        <v>719</v>
      </c>
      <c r="E78" s="3" t="s">
        <v>655</v>
      </c>
      <c r="F78" s="3" t="s">
        <v>720</v>
      </c>
      <c r="G78" s="9" t="s">
        <v>10</v>
      </c>
      <c r="H78" s="9" t="s">
        <v>249</v>
      </c>
      <c r="I78" s="9" t="s">
        <v>199</v>
      </c>
      <c r="J78" s="9" t="s">
        <v>232</v>
      </c>
      <c r="K78" s="3" t="s">
        <v>513</v>
      </c>
      <c r="L78" s="3" t="s">
        <v>657</v>
      </c>
      <c r="M78" s="3" t="s">
        <v>721</v>
      </c>
      <c r="N78" s="3" t="s">
        <v>722</v>
      </c>
      <c r="O78" s="5" t="s">
        <v>5</v>
      </c>
      <c r="P78" s="5"/>
      <c r="Q78" s="5"/>
      <c r="R78" s="11"/>
      <c r="S78" s="11"/>
      <c r="T78" s="13"/>
      <c r="U78" s="11" t="s">
        <v>723</v>
      </c>
    </row>
    <row r="79" spans="1:21" ht="72" customHeight="1">
      <c r="A79" s="7">
        <v>73</v>
      </c>
      <c r="B79" s="7" t="s">
        <v>724</v>
      </c>
      <c r="C79" s="7" t="s">
        <v>725</v>
      </c>
      <c r="D79" s="7" t="s">
        <v>726</v>
      </c>
      <c r="E79" s="3" t="s">
        <v>655</v>
      </c>
      <c r="F79" s="3" t="s">
        <v>727</v>
      </c>
      <c r="G79" s="9" t="s">
        <v>11</v>
      </c>
      <c r="H79" s="9" t="s">
        <v>249</v>
      </c>
      <c r="I79" s="9" t="s">
        <v>199</v>
      </c>
      <c r="J79" s="9" t="s">
        <v>232</v>
      </c>
      <c r="K79" s="3" t="s">
        <v>513</v>
      </c>
      <c r="L79" s="3" t="s">
        <v>657</v>
      </c>
      <c r="M79" s="3" t="s">
        <v>728</v>
      </c>
      <c r="N79" s="3" t="s">
        <v>729</v>
      </c>
      <c r="O79" s="5" t="s">
        <v>5</v>
      </c>
      <c r="P79" s="5"/>
      <c r="Q79" s="5"/>
      <c r="R79" s="11"/>
      <c r="S79" s="11"/>
      <c r="T79" s="13"/>
      <c r="U79" s="11" t="s">
        <v>730</v>
      </c>
    </row>
    <row r="80" spans="1:21" ht="72" customHeight="1">
      <c r="A80" s="7">
        <v>74</v>
      </c>
      <c r="B80" s="7" t="s">
        <v>731</v>
      </c>
      <c r="C80" s="7" t="s">
        <v>732</v>
      </c>
      <c r="D80" s="7" t="s">
        <v>228</v>
      </c>
      <c r="E80" s="3" t="s">
        <v>733</v>
      </c>
      <c r="F80" s="3" t="s">
        <v>734</v>
      </c>
      <c r="G80" s="9" t="s">
        <v>10</v>
      </c>
      <c r="H80" s="9" t="s">
        <v>735</v>
      </c>
      <c r="I80" s="9" t="s">
        <v>199</v>
      </c>
      <c r="J80" s="9" t="s">
        <v>232</v>
      </c>
      <c r="K80" s="3" t="s">
        <v>736</v>
      </c>
      <c r="L80" s="3" t="s">
        <v>737</v>
      </c>
      <c r="M80" s="3" t="s">
        <v>738</v>
      </c>
      <c r="N80" s="3" t="s">
        <v>739</v>
      </c>
      <c r="O80" s="5" t="s">
        <v>5</v>
      </c>
      <c r="P80" s="5"/>
      <c r="Q80" s="5"/>
      <c r="R80" s="11"/>
      <c r="S80" s="11"/>
      <c r="T80" s="13"/>
      <c r="U80" s="11" t="s">
        <v>740</v>
      </c>
    </row>
    <row r="81" spans="1:21" ht="72" customHeight="1">
      <c r="A81" s="7">
        <v>75</v>
      </c>
      <c r="B81" s="7" t="s">
        <v>741</v>
      </c>
      <c r="C81" s="7" t="s">
        <v>742</v>
      </c>
      <c r="D81" s="7" t="s">
        <v>240</v>
      </c>
      <c r="E81" s="3" t="s">
        <v>733</v>
      </c>
      <c r="F81" s="3" t="s">
        <v>743</v>
      </c>
      <c r="G81" s="9" t="s">
        <v>10</v>
      </c>
      <c r="H81" s="9" t="s">
        <v>744</v>
      </c>
      <c r="I81" s="9" t="s">
        <v>199</v>
      </c>
      <c r="J81" s="9" t="s">
        <v>232</v>
      </c>
      <c r="K81" s="3" t="s">
        <v>736</v>
      </c>
      <c r="L81" s="3" t="s">
        <v>737</v>
      </c>
      <c r="M81" s="3" t="s">
        <v>745</v>
      </c>
      <c r="N81" s="3" t="s">
        <v>746</v>
      </c>
      <c r="O81" s="5" t="s">
        <v>5</v>
      </c>
      <c r="P81" s="5"/>
      <c r="Q81" s="5"/>
      <c r="R81" s="11"/>
      <c r="S81" s="11"/>
      <c r="T81" s="13"/>
      <c r="U81" s="11" t="s">
        <v>747</v>
      </c>
    </row>
    <row r="82" spans="1:21" ht="72" customHeight="1">
      <c r="A82" s="7">
        <v>76</v>
      </c>
      <c r="B82" s="7" t="s">
        <v>748</v>
      </c>
      <c r="C82" s="7" t="s">
        <v>749</v>
      </c>
      <c r="D82" s="7" t="s">
        <v>247</v>
      </c>
      <c r="E82" s="3" t="s">
        <v>733</v>
      </c>
      <c r="F82" s="3" t="s">
        <v>750</v>
      </c>
      <c r="G82" s="9" t="s">
        <v>10</v>
      </c>
      <c r="H82" s="9" t="s">
        <v>331</v>
      </c>
      <c r="I82" s="9" t="s">
        <v>199</v>
      </c>
      <c r="J82" s="9" t="s">
        <v>232</v>
      </c>
      <c r="K82" s="3" t="s">
        <v>736</v>
      </c>
      <c r="L82" s="3" t="s">
        <v>737</v>
      </c>
      <c r="M82" s="3" t="s">
        <v>751</v>
      </c>
      <c r="N82" s="3" t="s">
        <v>752</v>
      </c>
      <c r="O82" s="5" t="s">
        <v>5</v>
      </c>
      <c r="P82" s="5"/>
      <c r="Q82" s="5"/>
      <c r="R82" s="11"/>
      <c r="S82" s="11"/>
      <c r="T82" s="13"/>
      <c r="U82" s="11" t="s">
        <v>753</v>
      </c>
    </row>
    <row r="83" spans="1:21" ht="72" customHeight="1">
      <c r="A83" s="7">
        <v>77</v>
      </c>
      <c r="B83" s="7" t="s">
        <v>754</v>
      </c>
      <c r="C83" s="7" t="s">
        <v>755</v>
      </c>
      <c r="D83" s="7" t="s">
        <v>255</v>
      </c>
      <c r="E83" s="3" t="s">
        <v>733</v>
      </c>
      <c r="F83" s="3" t="s">
        <v>756</v>
      </c>
      <c r="G83" s="9" t="s">
        <v>10</v>
      </c>
      <c r="H83" s="9" t="s">
        <v>744</v>
      </c>
      <c r="I83" s="9" t="s">
        <v>199</v>
      </c>
      <c r="J83" s="9" t="s">
        <v>232</v>
      </c>
      <c r="K83" s="3" t="s">
        <v>736</v>
      </c>
      <c r="L83" s="3" t="s">
        <v>737</v>
      </c>
      <c r="M83" s="3" t="s">
        <v>757</v>
      </c>
      <c r="N83" s="3" t="s">
        <v>758</v>
      </c>
      <c r="O83" s="5" t="s">
        <v>5</v>
      </c>
      <c r="P83" s="5"/>
      <c r="Q83" s="5"/>
      <c r="R83" s="11"/>
      <c r="S83" s="11"/>
      <c r="T83" s="13"/>
      <c r="U83" s="11" t="s">
        <v>759</v>
      </c>
    </row>
    <row r="84" spans="1:21" ht="72" customHeight="1">
      <c r="A84" s="7">
        <v>78</v>
      </c>
      <c r="B84" s="7" t="s">
        <v>760</v>
      </c>
      <c r="C84" s="7" t="s">
        <v>761</v>
      </c>
      <c r="D84" s="7" t="s">
        <v>262</v>
      </c>
      <c r="E84" s="3" t="s">
        <v>733</v>
      </c>
      <c r="F84" s="3" t="s">
        <v>762</v>
      </c>
      <c r="G84" s="9" t="s">
        <v>10</v>
      </c>
      <c r="H84" s="9" t="s">
        <v>744</v>
      </c>
      <c r="I84" s="9" t="s">
        <v>199</v>
      </c>
      <c r="J84" s="9" t="s">
        <v>232</v>
      </c>
      <c r="K84" s="3" t="s">
        <v>736</v>
      </c>
      <c r="L84" s="3" t="s">
        <v>737</v>
      </c>
      <c r="M84" s="3" t="s">
        <v>763</v>
      </c>
      <c r="N84" s="3" t="s">
        <v>764</v>
      </c>
      <c r="O84" s="5" t="s">
        <v>5</v>
      </c>
      <c r="P84" s="5"/>
      <c r="Q84" s="5"/>
      <c r="R84" s="11"/>
      <c r="S84" s="11"/>
      <c r="T84" s="13"/>
      <c r="U84" s="11" t="s">
        <v>765</v>
      </c>
    </row>
    <row r="85" spans="1:21" ht="72" customHeight="1">
      <c r="A85" s="7">
        <v>79</v>
      </c>
      <c r="B85" s="7" t="s">
        <v>766</v>
      </c>
      <c r="C85" s="7" t="s">
        <v>767</v>
      </c>
      <c r="D85" s="7" t="s">
        <v>269</v>
      </c>
      <c r="E85" s="3" t="s">
        <v>733</v>
      </c>
      <c r="F85" s="3" t="s">
        <v>768</v>
      </c>
      <c r="G85" s="9" t="s">
        <v>11</v>
      </c>
      <c r="H85" s="9" t="s">
        <v>744</v>
      </c>
      <c r="I85" s="9" t="s">
        <v>199</v>
      </c>
      <c r="J85" s="9" t="s">
        <v>232</v>
      </c>
      <c r="K85" s="3" t="s">
        <v>736</v>
      </c>
      <c r="L85" s="3" t="s">
        <v>737</v>
      </c>
      <c r="M85" s="3" t="s">
        <v>769</v>
      </c>
      <c r="N85" s="3" t="s">
        <v>770</v>
      </c>
      <c r="O85" s="5" t="s">
        <v>5</v>
      </c>
      <c r="P85" s="5"/>
      <c r="Q85" s="5"/>
      <c r="R85" s="11"/>
      <c r="S85" s="11"/>
      <c r="T85" s="13"/>
      <c r="U85" s="11" t="s">
        <v>771</v>
      </c>
    </row>
    <row r="86" spans="1:21" ht="72" customHeight="1">
      <c r="A86" s="7">
        <v>80</v>
      </c>
      <c r="B86" s="7" t="s">
        <v>772</v>
      </c>
      <c r="C86" s="7" t="s">
        <v>773</v>
      </c>
      <c r="D86" s="7" t="s">
        <v>276</v>
      </c>
      <c r="E86" s="3" t="s">
        <v>733</v>
      </c>
      <c r="F86" s="3" t="s">
        <v>774</v>
      </c>
      <c r="G86" s="9" t="s">
        <v>11</v>
      </c>
      <c r="H86" s="9" t="s">
        <v>744</v>
      </c>
      <c r="I86" s="9" t="s">
        <v>199</v>
      </c>
      <c r="J86" s="9" t="s">
        <v>232</v>
      </c>
      <c r="K86" s="3" t="s">
        <v>736</v>
      </c>
      <c r="L86" s="3" t="s">
        <v>737</v>
      </c>
      <c r="M86" s="3" t="s">
        <v>775</v>
      </c>
      <c r="N86" s="3" t="s">
        <v>776</v>
      </c>
      <c r="O86" s="5" t="s">
        <v>5</v>
      </c>
      <c r="P86" s="5"/>
      <c r="Q86" s="5"/>
      <c r="R86" s="11"/>
      <c r="S86" s="11"/>
      <c r="T86" s="13"/>
      <c r="U86" s="11" t="s">
        <v>777</v>
      </c>
    </row>
    <row r="87" spans="1:21" ht="72" customHeight="1">
      <c r="A87" s="7">
        <v>81</v>
      </c>
      <c r="B87" s="7" t="s">
        <v>778</v>
      </c>
      <c r="C87" s="7" t="s">
        <v>779</v>
      </c>
      <c r="D87" s="7" t="s">
        <v>284</v>
      </c>
      <c r="E87" s="3" t="s">
        <v>733</v>
      </c>
      <c r="F87" s="3" t="s">
        <v>780</v>
      </c>
      <c r="G87" s="9" t="s">
        <v>10</v>
      </c>
      <c r="H87" s="9" t="s">
        <v>735</v>
      </c>
      <c r="I87" s="9" t="s">
        <v>199</v>
      </c>
      <c r="J87" s="9" t="s">
        <v>232</v>
      </c>
      <c r="K87" s="3" t="s">
        <v>736</v>
      </c>
      <c r="L87" s="3" t="s">
        <v>737</v>
      </c>
      <c r="M87" s="3" t="s">
        <v>781</v>
      </c>
      <c r="N87" s="3" t="s">
        <v>782</v>
      </c>
      <c r="O87" s="5" t="s">
        <v>5</v>
      </c>
      <c r="P87" s="5"/>
      <c r="Q87" s="5"/>
      <c r="R87" s="11"/>
      <c r="S87" s="11"/>
      <c r="T87" s="13"/>
      <c r="U87" s="11" t="s">
        <v>783</v>
      </c>
    </row>
    <row r="88" spans="1:21" ht="72" customHeight="1">
      <c r="A88" s="7">
        <v>82</v>
      </c>
      <c r="B88" s="7" t="s">
        <v>784</v>
      </c>
      <c r="C88" s="7" t="s">
        <v>785</v>
      </c>
      <c r="D88" s="7" t="s">
        <v>786</v>
      </c>
      <c r="E88" s="3" t="s">
        <v>787</v>
      </c>
      <c r="F88" s="3" t="s">
        <v>788</v>
      </c>
      <c r="G88" s="9" t="s">
        <v>10</v>
      </c>
      <c r="H88" s="9" t="s">
        <v>789</v>
      </c>
      <c r="I88" s="9" t="s">
        <v>199</v>
      </c>
      <c r="J88" s="9" t="s">
        <v>278</v>
      </c>
      <c r="K88" s="3" t="s">
        <v>790</v>
      </c>
      <c r="L88" s="3" t="s">
        <v>791</v>
      </c>
      <c r="M88" s="3" t="s">
        <v>792</v>
      </c>
      <c r="N88" s="3" t="s">
        <v>793</v>
      </c>
      <c r="O88" s="5" t="s">
        <v>5</v>
      </c>
      <c r="P88" s="5"/>
      <c r="Q88" s="5"/>
      <c r="R88" s="11"/>
      <c r="S88" s="11"/>
      <c r="T88" s="13"/>
      <c r="U88" s="11" t="s">
        <v>794</v>
      </c>
    </row>
    <row r="89" spans="1:21" ht="72" customHeight="1">
      <c r="A89" s="7">
        <v>83</v>
      </c>
      <c r="B89" s="7" t="s">
        <v>795</v>
      </c>
      <c r="C89" s="7" t="s">
        <v>796</v>
      </c>
      <c r="D89" s="7" t="s">
        <v>797</v>
      </c>
      <c r="E89" s="3" t="s">
        <v>787</v>
      </c>
      <c r="F89" s="3" t="s">
        <v>798</v>
      </c>
      <c r="G89" s="9" t="s">
        <v>10</v>
      </c>
      <c r="H89" s="9" t="s">
        <v>231</v>
      </c>
      <c r="I89" s="9" t="s">
        <v>199</v>
      </c>
      <c r="J89" s="9" t="s">
        <v>278</v>
      </c>
      <c r="K89" s="3" t="s">
        <v>790</v>
      </c>
      <c r="L89" s="3" t="s">
        <v>791</v>
      </c>
      <c r="M89" s="3" t="s">
        <v>799</v>
      </c>
      <c r="N89" s="3" t="s">
        <v>800</v>
      </c>
      <c r="O89" s="5" t="s">
        <v>5</v>
      </c>
      <c r="P89" s="5"/>
      <c r="Q89" s="5"/>
      <c r="R89" s="11"/>
      <c r="S89" s="11"/>
      <c r="T89" s="13"/>
      <c r="U89" s="11" t="s">
        <v>801</v>
      </c>
    </row>
    <row r="90" spans="1:21" ht="72" customHeight="1">
      <c r="A90" s="7">
        <v>84</v>
      </c>
      <c r="B90" s="7" t="s">
        <v>802</v>
      </c>
      <c r="C90" s="7" t="s">
        <v>803</v>
      </c>
      <c r="D90" s="7" t="s">
        <v>804</v>
      </c>
      <c r="E90" s="3" t="s">
        <v>787</v>
      </c>
      <c r="F90" s="3" t="s">
        <v>805</v>
      </c>
      <c r="G90" s="9" t="s">
        <v>11</v>
      </c>
      <c r="H90" s="9" t="s">
        <v>231</v>
      </c>
      <c r="I90" s="9" t="s">
        <v>199</v>
      </c>
      <c r="J90" s="9" t="s">
        <v>278</v>
      </c>
      <c r="K90" s="3" t="s">
        <v>790</v>
      </c>
      <c r="L90" s="3" t="s">
        <v>791</v>
      </c>
      <c r="M90" s="3" t="s">
        <v>806</v>
      </c>
      <c r="N90" s="3" t="s">
        <v>807</v>
      </c>
      <c r="O90" s="5" t="s">
        <v>5</v>
      </c>
      <c r="P90" s="5"/>
      <c r="Q90" s="5"/>
      <c r="R90" s="11"/>
      <c r="S90" s="11"/>
      <c r="T90" s="13"/>
      <c r="U90" s="11" t="s">
        <v>808</v>
      </c>
    </row>
    <row r="91" spans="1:21" ht="72" customHeight="1">
      <c r="A91" s="7">
        <v>85</v>
      </c>
      <c r="B91" s="7" t="s">
        <v>809</v>
      </c>
      <c r="C91" s="7" t="s">
        <v>810</v>
      </c>
      <c r="D91" s="7" t="s">
        <v>811</v>
      </c>
      <c r="E91" s="3" t="s">
        <v>787</v>
      </c>
      <c r="F91" s="3" t="s">
        <v>812</v>
      </c>
      <c r="G91" s="9" t="s">
        <v>11</v>
      </c>
      <c r="H91" s="9" t="s">
        <v>331</v>
      </c>
      <c r="I91" s="9" t="s">
        <v>199</v>
      </c>
      <c r="J91" s="9" t="s">
        <v>278</v>
      </c>
      <c r="K91" s="3" t="s">
        <v>790</v>
      </c>
      <c r="L91" s="3" t="s">
        <v>791</v>
      </c>
      <c r="M91" s="3" t="s">
        <v>813</v>
      </c>
      <c r="N91" s="3" t="s">
        <v>814</v>
      </c>
      <c r="O91" s="5" t="s">
        <v>5</v>
      </c>
      <c r="P91" s="5"/>
      <c r="Q91" s="5"/>
      <c r="R91" s="11"/>
      <c r="S91" s="11"/>
      <c r="T91" s="13"/>
      <c r="U91" s="11" t="s">
        <v>815</v>
      </c>
    </row>
    <row r="92" spans="1:21" ht="72" customHeight="1">
      <c r="A92" s="7">
        <v>86</v>
      </c>
      <c r="B92" s="7" t="s">
        <v>816</v>
      </c>
      <c r="C92" s="7" t="s">
        <v>817</v>
      </c>
      <c r="D92" s="7" t="s">
        <v>818</v>
      </c>
      <c r="E92" s="3" t="s">
        <v>787</v>
      </c>
      <c r="F92" s="3" t="s">
        <v>819</v>
      </c>
      <c r="G92" s="9" t="s">
        <v>10</v>
      </c>
      <c r="H92" s="9" t="s">
        <v>331</v>
      </c>
      <c r="I92" s="9" t="s">
        <v>199</v>
      </c>
      <c r="J92" s="9" t="s">
        <v>278</v>
      </c>
      <c r="K92" s="3" t="s">
        <v>790</v>
      </c>
      <c r="L92" s="3" t="s">
        <v>791</v>
      </c>
      <c r="M92" s="3" t="s">
        <v>820</v>
      </c>
      <c r="N92" s="3" t="s">
        <v>821</v>
      </c>
      <c r="O92" s="5" t="s">
        <v>5</v>
      </c>
      <c r="P92" s="5"/>
      <c r="Q92" s="5"/>
      <c r="R92" s="11"/>
      <c r="S92" s="11"/>
      <c r="T92" s="13"/>
      <c r="U92" s="11" t="s">
        <v>822</v>
      </c>
    </row>
    <row r="93" spans="1:21" ht="72" customHeight="1">
      <c r="A93" s="7">
        <v>87</v>
      </c>
      <c r="B93" s="7" t="s">
        <v>823</v>
      </c>
      <c r="C93" s="7" t="s">
        <v>824</v>
      </c>
      <c r="D93" s="7" t="s">
        <v>825</v>
      </c>
      <c r="E93" s="3" t="s">
        <v>787</v>
      </c>
      <c r="F93" s="3" t="s">
        <v>826</v>
      </c>
      <c r="G93" s="9" t="s">
        <v>11</v>
      </c>
      <c r="H93" s="9" t="s">
        <v>789</v>
      </c>
      <c r="I93" s="9" t="s">
        <v>199</v>
      </c>
      <c r="J93" s="9" t="s">
        <v>278</v>
      </c>
      <c r="K93" s="3" t="s">
        <v>790</v>
      </c>
      <c r="L93" s="3" t="s">
        <v>791</v>
      </c>
      <c r="M93" s="3" t="s">
        <v>827</v>
      </c>
      <c r="N93" s="3" t="s">
        <v>828</v>
      </c>
      <c r="O93" s="5" t="s">
        <v>5</v>
      </c>
      <c r="P93" s="5"/>
      <c r="Q93" s="5"/>
      <c r="R93" s="11"/>
      <c r="S93" s="11"/>
      <c r="T93" s="13"/>
      <c r="U93" s="11" t="s">
        <v>829</v>
      </c>
    </row>
    <row r="94" spans="1:21" ht="72" customHeight="1">
      <c r="A94" s="7">
        <v>88</v>
      </c>
      <c r="B94" s="7" t="s">
        <v>830</v>
      </c>
      <c r="C94" s="7" t="s">
        <v>831</v>
      </c>
      <c r="D94" s="7" t="s">
        <v>832</v>
      </c>
      <c r="E94" s="3" t="s">
        <v>787</v>
      </c>
      <c r="F94" s="3" t="s">
        <v>833</v>
      </c>
      <c r="G94" s="9" t="s">
        <v>11</v>
      </c>
      <c r="H94" s="9" t="s">
        <v>231</v>
      </c>
      <c r="I94" s="9" t="s">
        <v>199</v>
      </c>
      <c r="J94" s="9" t="s">
        <v>278</v>
      </c>
      <c r="K94" s="3" t="s">
        <v>790</v>
      </c>
      <c r="L94" s="3" t="s">
        <v>791</v>
      </c>
      <c r="M94" s="3" t="s">
        <v>834</v>
      </c>
      <c r="N94" s="3" t="s">
        <v>835</v>
      </c>
      <c r="O94" s="5" t="s">
        <v>5</v>
      </c>
      <c r="P94" s="5"/>
      <c r="Q94" s="5"/>
      <c r="R94" s="11"/>
      <c r="S94" s="11"/>
      <c r="T94" s="13"/>
      <c r="U94" s="11" t="s">
        <v>836</v>
      </c>
    </row>
    <row r="95" spans="1:21" ht="72" customHeight="1">
      <c r="A95" s="7">
        <v>89</v>
      </c>
      <c r="B95" s="7" t="s">
        <v>837</v>
      </c>
      <c r="C95" s="7" t="s">
        <v>838</v>
      </c>
      <c r="D95" s="7" t="s">
        <v>839</v>
      </c>
      <c r="E95" s="3" t="s">
        <v>787</v>
      </c>
      <c r="F95" s="3" t="s">
        <v>840</v>
      </c>
      <c r="G95" s="9" t="s">
        <v>10</v>
      </c>
      <c r="H95" s="9" t="s">
        <v>286</v>
      </c>
      <c r="I95" s="9" t="s">
        <v>199</v>
      </c>
      <c r="J95" s="9" t="s">
        <v>278</v>
      </c>
      <c r="K95" s="3" t="s">
        <v>790</v>
      </c>
      <c r="L95" s="3" t="s">
        <v>791</v>
      </c>
      <c r="M95" s="3" t="s">
        <v>841</v>
      </c>
      <c r="N95" s="3" t="s">
        <v>842</v>
      </c>
      <c r="O95" s="5" t="s">
        <v>5</v>
      </c>
      <c r="P95" s="5"/>
      <c r="Q95" s="5"/>
      <c r="R95" s="11"/>
      <c r="S95" s="11"/>
      <c r="T95" s="13"/>
      <c r="U95" s="11" t="s">
        <v>843</v>
      </c>
    </row>
    <row r="96" spans="1:21" ht="72" customHeight="1">
      <c r="A96" s="7">
        <v>90</v>
      </c>
      <c r="B96" s="7" t="s">
        <v>844</v>
      </c>
      <c r="C96" s="7" t="s">
        <v>845</v>
      </c>
      <c r="D96" s="7" t="s">
        <v>846</v>
      </c>
      <c r="E96" s="3" t="s">
        <v>787</v>
      </c>
      <c r="F96" s="3" t="s">
        <v>847</v>
      </c>
      <c r="G96" s="9" t="s">
        <v>11</v>
      </c>
      <c r="H96" s="9" t="s">
        <v>789</v>
      </c>
      <c r="I96" s="9" t="s">
        <v>199</v>
      </c>
      <c r="J96" s="9" t="s">
        <v>278</v>
      </c>
      <c r="K96" s="3" t="s">
        <v>790</v>
      </c>
      <c r="L96" s="3" t="s">
        <v>791</v>
      </c>
      <c r="M96" s="3" t="s">
        <v>848</v>
      </c>
      <c r="N96" s="3" t="s">
        <v>849</v>
      </c>
      <c r="O96" s="5" t="s">
        <v>5</v>
      </c>
      <c r="P96" s="5"/>
      <c r="Q96" s="5"/>
      <c r="R96" s="11"/>
      <c r="S96" s="11"/>
      <c r="T96" s="13"/>
      <c r="U96" s="11" t="s">
        <v>850</v>
      </c>
    </row>
    <row r="97" spans="1:21" ht="72" customHeight="1">
      <c r="A97" s="7">
        <v>91</v>
      </c>
      <c r="B97" s="7" t="s">
        <v>851</v>
      </c>
      <c r="C97" s="7" t="s">
        <v>852</v>
      </c>
      <c r="D97" s="7" t="s">
        <v>853</v>
      </c>
      <c r="E97" s="3" t="s">
        <v>854</v>
      </c>
      <c r="F97" s="3" t="s">
        <v>855</v>
      </c>
      <c r="G97" s="9" t="s">
        <v>10</v>
      </c>
      <c r="H97" s="9" t="s">
        <v>854</v>
      </c>
      <c r="I97" s="9" t="s">
        <v>199</v>
      </c>
      <c r="J97" s="9" t="s">
        <v>232</v>
      </c>
      <c r="K97" s="3" t="s">
        <v>856</v>
      </c>
      <c r="L97" s="3" t="s">
        <v>857</v>
      </c>
      <c r="M97" s="3" t="s">
        <v>858</v>
      </c>
      <c r="N97" s="3" t="s">
        <v>859</v>
      </c>
      <c r="O97" s="5" t="s">
        <v>5</v>
      </c>
      <c r="P97" s="5"/>
      <c r="Q97" s="5"/>
      <c r="R97" s="11"/>
      <c r="S97" s="11"/>
      <c r="T97" s="13"/>
      <c r="U97" s="11" t="s">
        <v>860</v>
      </c>
    </row>
    <row r="98" spans="1:21" ht="72" customHeight="1">
      <c r="A98" s="7">
        <v>92</v>
      </c>
      <c r="B98" s="7" t="s">
        <v>861</v>
      </c>
      <c r="C98" s="7" t="s">
        <v>862</v>
      </c>
      <c r="D98" s="7" t="s">
        <v>863</v>
      </c>
      <c r="E98" s="3" t="s">
        <v>854</v>
      </c>
      <c r="F98" s="3" t="s">
        <v>864</v>
      </c>
      <c r="G98" s="9" t="s">
        <v>11</v>
      </c>
      <c r="H98" s="9" t="s">
        <v>854</v>
      </c>
      <c r="I98" s="9" t="s">
        <v>199</v>
      </c>
      <c r="J98" s="9" t="s">
        <v>232</v>
      </c>
      <c r="K98" s="3" t="s">
        <v>856</v>
      </c>
      <c r="L98" s="3" t="s">
        <v>857</v>
      </c>
      <c r="M98" s="3" t="s">
        <v>865</v>
      </c>
      <c r="N98" s="3" t="s">
        <v>866</v>
      </c>
      <c r="O98" s="5" t="s">
        <v>5</v>
      </c>
      <c r="P98" s="5"/>
      <c r="Q98" s="5"/>
      <c r="R98" s="11"/>
      <c r="S98" s="11"/>
      <c r="T98" s="13"/>
      <c r="U98" s="11" t="s">
        <v>867</v>
      </c>
    </row>
    <row r="99" spans="1:21" ht="72" customHeight="1">
      <c r="A99" s="7">
        <v>93</v>
      </c>
      <c r="B99" s="7" t="s">
        <v>868</v>
      </c>
      <c r="C99" s="7" t="s">
        <v>869</v>
      </c>
      <c r="D99" s="7" t="s">
        <v>870</v>
      </c>
      <c r="E99" s="3" t="s">
        <v>854</v>
      </c>
      <c r="F99" s="3" t="s">
        <v>871</v>
      </c>
      <c r="G99" s="9" t="s">
        <v>10</v>
      </c>
      <c r="H99" s="9" t="s">
        <v>854</v>
      </c>
      <c r="I99" s="9" t="s">
        <v>199</v>
      </c>
      <c r="J99" s="9" t="s">
        <v>232</v>
      </c>
      <c r="K99" s="3" t="s">
        <v>856</v>
      </c>
      <c r="L99" s="3" t="s">
        <v>857</v>
      </c>
      <c r="M99" s="3" t="s">
        <v>872</v>
      </c>
      <c r="N99" s="3" t="s">
        <v>873</v>
      </c>
      <c r="O99" s="5" t="s">
        <v>5</v>
      </c>
      <c r="P99" s="5"/>
      <c r="Q99" s="5"/>
      <c r="R99" s="11"/>
      <c r="S99" s="11"/>
      <c r="T99" s="13"/>
      <c r="U99" s="11" t="s">
        <v>874</v>
      </c>
    </row>
    <row r="100" spans="1:21" ht="72" customHeight="1">
      <c r="A100" s="7">
        <v>94</v>
      </c>
      <c r="B100" s="7" t="s">
        <v>875</v>
      </c>
      <c r="C100" s="7" t="s">
        <v>876</v>
      </c>
      <c r="D100" s="7" t="s">
        <v>877</v>
      </c>
      <c r="E100" s="3" t="s">
        <v>854</v>
      </c>
      <c r="F100" s="3" t="s">
        <v>878</v>
      </c>
      <c r="G100" s="9" t="s">
        <v>10</v>
      </c>
      <c r="H100" s="9" t="s">
        <v>854</v>
      </c>
      <c r="I100" s="9" t="s">
        <v>199</v>
      </c>
      <c r="J100" s="9" t="s">
        <v>232</v>
      </c>
      <c r="K100" s="3" t="s">
        <v>856</v>
      </c>
      <c r="L100" s="3" t="s">
        <v>857</v>
      </c>
      <c r="M100" s="3" t="s">
        <v>879</v>
      </c>
      <c r="N100" s="3" t="s">
        <v>880</v>
      </c>
      <c r="O100" s="5" t="s">
        <v>5</v>
      </c>
      <c r="P100" s="5"/>
      <c r="Q100" s="5"/>
      <c r="R100" s="11"/>
      <c r="S100" s="11"/>
      <c r="T100" s="13"/>
      <c r="U100" s="11" t="s">
        <v>881</v>
      </c>
    </row>
    <row r="101" spans="1:21" ht="72" customHeight="1">
      <c r="A101" s="7">
        <v>95</v>
      </c>
      <c r="B101" s="7" t="s">
        <v>882</v>
      </c>
      <c r="C101" s="7" t="s">
        <v>883</v>
      </c>
      <c r="D101" s="7" t="s">
        <v>884</v>
      </c>
      <c r="E101" s="3" t="s">
        <v>854</v>
      </c>
      <c r="F101" s="3" t="s">
        <v>885</v>
      </c>
      <c r="G101" s="9" t="s">
        <v>11</v>
      </c>
      <c r="H101" s="9" t="s">
        <v>854</v>
      </c>
      <c r="I101" s="9" t="s">
        <v>199</v>
      </c>
      <c r="J101" s="9" t="s">
        <v>232</v>
      </c>
      <c r="K101" s="3" t="s">
        <v>856</v>
      </c>
      <c r="L101" s="3" t="s">
        <v>857</v>
      </c>
      <c r="M101" s="3" t="s">
        <v>886</v>
      </c>
      <c r="N101" s="3" t="s">
        <v>887</v>
      </c>
      <c r="O101" s="5" t="s">
        <v>5</v>
      </c>
      <c r="P101" s="5"/>
      <c r="Q101" s="5"/>
      <c r="R101" s="11"/>
      <c r="S101" s="11"/>
      <c r="T101" s="13"/>
      <c r="U101" s="11" t="s">
        <v>888</v>
      </c>
    </row>
    <row r="102" spans="1:21" ht="72" customHeight="1">
      <c r="A102" s="7">
        <v>96</v>
      </c>
      <c r="B102" s="7" t="s">
        <v>889</v>
      </c>
      <c r="C102" s="7" t="s">
        <v>890</v>
      </c>
      <c r="D102" s="7" t="s">
        <v>891</v>
      </c>
      <c r="E102" s="3" t="s">
        <v>854</v>
      </c>
      <c r="F102" s="3" t="s">
        <v>892</v>
      </c>
      <c r="G102" s="9" t="s">
        <v>11</v>
      </c>
      <c r="H102" s="9" t="s">
        <v>854</v>
      </c>
      <c r="I102" s="9" t="s">
        <v>199</v>
      </c>
      <c r="J102" s="9" t="s">
        <v>232</v>
      </c>
      <c r="K102" s="3" t="s">
        <v>856</v>
      </c>
      <c r="L102" s="3" t="s">
        <v>857</v>
      </c>
      <c r="M102" s="3" t="s">
        <v>893</v>
      </c>
      <c r="N102" s="3" t="s">
        <v>894</v>
      </c>
      <c r="O102" s="5" t="s">
        <v>5</v>
      </c>
      <c r="P102" s="5"/>
      <c r="Q102" s="5"/>
      <c r="R102" s="11"/>
      <c r="S102" s="11"/>
      <c r="T102" s="13"/>
      <c r="U102" s="11" t="s">
        <v>895</v>
      </c>
    </row>
    <row r="103" spans="1:21" ht="72" customHeight="1">
      <c r="A103" s="7">
        <v>97</v>
      </c>
      <c r="B103" s="7" t="s">
        <v>896</v>
      </c>
      <c r="C103" s="7" t="s">
        <v>897</v>
      </c>
      <c r="D103" s="7" t="s">
        <v>898</v>
      </c>
      <c r="E103" s="3" t="s">
        <v>854</v>
      </c>
      <c r="F103" s="3" t="s">
        <v>899</v>
      </c>
      <c r="G103" s="9" t="s">
        <v>10</v>
      </c>
      <c r="H103" s="9" t="s">
        <v>854</v>
      </c>
      <c r="I103" s="9" t="s">
        <v>199</v>
      </c>
      <c r="J103" s="9" t="s">
        <v>232</v>
      </c>
      <c r="K103" s="3" t="s">
        <v>856</v>
      </c>
      <c r="L103" s="3" t="s">
        <v>857</v>
      </c>
      <c r="M103" s="3" t="s">
        <v>900</v>
      </c>
      <c r="N103" s="3" t="s">
        <v>901</v>
      </c>
      <c r="O103" s="5" t="s">
        <v>5</v>
      </c>
      <c r="P103" s="5"/>
      <c r="Q103" s="5"/>
      <c r="R103" s="11"/>
      <c r="S103" s="11"/>
      <c r="T103" s="13"/>
      <c r="U103" s="11" t="s">
        <v>902</v>
      </c>
    </row>
    <row r="104" spans="1:21" ht="72" customHeight="1">
      <c r="A104" s="7">
        <v>98</v>
      </c>
      <c r="B104" s="7" t="s">
        <v>903</v>
      </c>
      <c r="C104" s="7" t="s">
        <v>904</v>
      </c>
      <c r="D104" s="7" t="s">
        <v>905</v>
      </c>
      <c r="E104" s="3" t="s">
        <v>854</v>
      </c>
      <c r="F104" s="3" t="s">
        <v>906</v>
      </c>
      <c r="G104" s="9" t="s">
        <v>10</v>
      </c>
      <c r="H104" s="9" t="s">
        <v>854</v>
      </c>
      <c r="I104" s="9" t="s">
        <v>199</v>
      </c>
      <c r="J104" s="9" t="s">
        <v>232</v>
      </c>
      <c r="K104" s="3" t="s">
        <v>856</v>
      </c>
      <c r="L104" s="3" t="s">
        <v>857</v>
      </c>
      <c r="M104" s="3" t="s">
        <v>907</v>
      </c>
      <c r="N104" s="3" t="s">
        <v>908</v>
      </c>
      <c r="O104" s="5" t="s">
        <v>5</v>
      </c>
      <c r="P104" s="5"/>
      <c r="Q104" s="5"/>
      <c r="R104" s="11"/>
      <c r="S104" s="11"/>
      <c r="T104" s="13"/>
      <c r="U104" s="11" t="s">
        <v>909</v>
      </c>
    </row>
    <row r="105" spans="1:21" ht="72" customHeight="1">
      <c r="A105" s="7">
        <v>99</v>
      </c>
      <c r="B105" s="7" t="s">
        <v>910</v>
      </c>
      <c r="C105" s="7" t="s">
        <v>911</v>
      </c>
      <c r="D105" s="7" t="s">
        <v>912</v>
      </c>
      <c r="E105" s="3" t="s">
        <v>913</v>
      </c>
      <c r="F105" s="3" t="s">
        <v>914</v>
      </c>
      <c r="G105" s="9" t="s">
        <v>12</v>
      </c>
      <c r="H105" s="9" t="s">
        <v>198</v>
      </c>
      <c r="I105" s="9" t="s">
        <v>221</v>
      </c>
      <c r="J105" s="9" t="s">
        <v>200</v>
      </c>
      <c r="K105" s="3" t="s">
        <v>201</v>
      </c>
      <c r="L105" s="3" t="s">
        <v>202</v>
      </c>
      <c r="M105" s="3" t="s">
        <v>915</v>
      </c>
      <c r="N105" s="3" t="s">
        <v>916</v>
      </c>
      <c r="O105" s="5" t="s">
        <v>224</v>
      </c>
      <c r="P105" s="5"/>
      <c r="Q105" s="5"/>
      <c r="R105" s="11"/>
      <c r="S105" s="11"/>
      <c r="T105" s="13"/>
      <c r="U105" s="11" t="s">
        <v>917</v>
      </c>
    </row>
    <row r="106" spans="1:21" ht="72" customHeight="1">
      <c r="A106" s="7">
        <v>100</v>
      </c>
      <c r="B106" s="7" t="s">
        <v>918</v>
      </c>
      <c r="C106" s="7" t="s">
        <v>919</v>
      </c>
      <c r="D106" s="7" t="s">
        <v>920</v>
      </c>
      <c r="E106" s="3" t="s">
        <v>913</v>
      </c>
      <c r="F106" s="3" t="s">
        <v>921</v>
      </c>
      <c r="G106" s="9" t="s">
        <v>12</v>
      </c>
      <c r="H106" s="9" t="s">
        <v>198</v>
      </c>
      <c r="I106" s="9" t="s">
        <v>221</v>
      </c>
      <c r="J106" s="9" t="s">
        <v>200</v>
      </c>
      <c r="K106" s="3" t="s">
        <v>201</v>
      </c>
      <c r="L106" s="3" t="s">
        <v>202</v>
      </c>
      <c r="M106" s="3" t="s">
        <v>922</v>
      </c>
      <c r="N106" s="3" t="s">
        <v>923</v>
      </c>
      <c r="O106" s="5" t="s">
        <v>224</v>
      </c>
      <c r="P106" s="5"/>
      <c r="Q106" s="5"/>
      <c r="R106" s="11"/>
      <c r="S106" s="11"/>
      <c r="T106" s="13"/>
      <c r="U106" s="11" t="s">
        <v>924</v>
      </c>
    </row>
    <row r="107" spans="1:21" ht="72" customHeight="1">
      <c r="A107" s="7">
        <v>101</v>
      </c>
      <c r="B107" s="7" t="s">
        <v>925</v>
      </c>
      <c r="C107" s="7" t="s">
        <v>926</v>
      </c>
      <c r="D107" s="7" t="s">
        <v>927</v>
      </c>
      <c r="E107" s="3" t="s">
        <v>913</v>
      </c>
      <c r="F107" s="3" t="s">
        <v>928</v>
      </c>
      <c r="G107" s="9" t="s">
        <v>12</v>
      </c>
      <c r="H107" s="9" t="s">
        <v>198</v>
      </c>
      <c r="I107" s="9" t="s">
        <v>221</v>
      </c>
      <c r="J107" s="9" t="s">
        <v>200</v>
      </c>
      <c r="K107" s="3" t="s">
        <v>201</v>
      </c>
      <c r="L107" s="3" t="s">
        <v>202</v>
      </c>
      <c r="M107" s="3" t="s">
        <v>929</v>
      </c>
      <c r="N107" s="3" t="s">
        <v>930</v>
      </c>
      <c r="O107" s="5" t="s">
        <v>224</v>
      </c>
      <c r="P107" s="5"/>
      <c r="Q107" s="5"/>
      <c r="R107" s="11"/>
      <c r="S107" s="11"/>
      <c r="T107" s="13"/>
      <c r="U107" s="11" t="s">
        <v>931</v>
      </c>
    </row>
    <row r="108" spans="1:21" ht="72" customHeight="1">
      <c r="A108" s="7">
        <v>102</v>
      </c>
      <c r="B108" s="7" t="s">
        <v>932</v>
      </c>
      <c r="C108" s="7" t="s">
        <v>933</v>
      </c>
      <c r="D108" s="7" t="s">
        <v>934</v>
      </c>
      <c r="E108" s="3" t="s">
        <v>913</v>
      </c>
      <c r="F108" s="3" t="s">
        <v>935</v>
      </c>
      <c r="G108" s="9" t="s">
        <v>12</v>
      </c>
      <c r="H108" s="9" t="s">
        <v>198</v>
      </c>
      <c r="I108" s="9" t="s">
        <v>221</v>
      </c>
      <c r="J108" s="9" t="s">
        <v>200</v>
      </c>
      <c r="K108" s="3" t="s">
        <v>201</v>
      </c>
      <c r="L108" s="3" t="s">
        <v>202</v>
      </c>
      <c r="M108" s="3" t="s">
        <v>936</v>
      </c>
      <c r="N108" s="3" t="s">
        <v>937</v>
      </c>
      <c r="O108" s="5" t="s">
        <v>224</v>
      </c>
      <c r="P108" s="5"/>
      <c r="Q108" s="5"/>
      <c r="R108" s="11"/>
      <c r="S108" s="11"/>
      <c r="T108" s="13"/>
      <c r="U108" s="11" t="s">
        <v>938</v>
      </c>
    </row>
    <row r="109" spans="1:21" ht="72" customHeight="1">
      <c r="A109" s="7">
        <v>103</v>
      </c>
      <c r="B109" s="7" t="s">
        <v>939</v>
      </c>
      <c r="C109" s="7" t="s">
        <v>940</v>
      </c>
      <c r="D109" s="7" t="s">
        <v>941</v>
      </c>
      <c r="E109" s="3" t="s">
        <v>913</v>
      </c>
      <c r="F109" s="3" t="s">
        <v>942</v>
      </c>
      <c r="G109" s="9" t="s">
        <v>12</v>
      </c>
      <c r="H109" s="9" t="s">
        <v>198</v>
      </c>
      <c r="I109" s="9" t="s">
        <v>221</v>
      </c>
      <c r="J109" s="9" t="s">
        <v>200</v>
      </c>
      <c r="K109" s="3" t="s">
        <v>201</v>
      </c>
      <c r="L109" s="3" t="s">
        <v>202</v>
      </c>
      <c r="M109" s="3" t="s">
        <v>943</v>
      </c>
      <c r="N109" s="3" t="s">
        <v>944</v>
      </c>
      <c r="O109" s="5" t="s">
        <v>224</v>
      </c>
      <c r="P109" s="5"/>
      <c r="Q109" s="5"/>
      <c r="R109" s="11"/>
      <c r="S109" s="11"/>
      <c r="T109" s="13"/>
      <c r="U109" s="11" t="s">
        <v>945</v>
      </c>
    </row>
    <row r="110" spans="1:21" ht="72" customHeight="1">
      <c r="A110" s="7">
        <v>104</v>
      </c>
      <c r="B110" s="7" t="s">
        <v>946</v>
      </c>
      <c r="C110" s="7" t="s">
        <v>947</v>
      </c>
      <c r="D110" s="7" t="s">
        <v>948</v>
      </c>
      <c r="E110" s="3" t="s">
        <v>913</v>
      </c>
      <c r="F110" s="3" t="s">
        <v>949</v>
      </c>
      <c r="G110" s="9" t="s">
        <v>12</v>
      </c>
      <c r="H110" s="9" t="s">
        <v>198</v>
      </c>
      <c r="I110" s="9" t="s">
        <v>221</v>
      </c>
      <c r="J110" s="9" t="s">
        <v>200</v>
      </c>
      <c r="K110" s="3" t="s">
        <v>201</v>
      </c>
      <c r="L110" s="3" t="s">
        <v>202</v>
      </c>
      <c r="M110" s="3" t="s">
        <v>950</v>
      </c>
      <c r="N110" s="3" t="s">
        <v>951</v>
      </c>
      <c r="O110" s="5" t="s">
        <v>224</v>
      </c>
      <c r="P110" s="5"/>
      <c r="Q110" s="5"/>
      <c r="R110" s="11"/>
      <c r="S110" s="11"/>
      <c r="T110" s="13"/>
      <c r="U110" s="11" t="s">
        <v>952</v>
      </c>
    </row>
    <row r="111" spans="1:21" ht="72" customHeight="1">
      <c r="A111" s="7">
        <v>105</v>
      </c>
      <c r="B111" s="7" t="s">
        <v>953</v>
      </c>
      <c r="C111" s="7" t="s">
        <v>954</v>
      </c>
      <c r="D111" s="7" t="s">
        <v>955</v>
      </c>
      <c r="E111" s="3" t="s">
        <v>956</v>
      </c>
      <c r="F111" s="3" t="s">
        <v>957</v>
      </c>
      <c r="G111" s="9" t="s">
        <v>10</v>
      </c>
      <c r="H111" s="9" t="s">
        <v>198</v>
      </c>
      <c r="I111" s="9" t="s">
        <v>199</v>
      </c>
      <c r="J111" s="9" t="s">
        <v>200</v>
      </c>
      <c r="K111" s="3" t="s">
        <v>201</v>
      </c>
      <c r="L111" s="3" t="s">
        <v>202</v>
      </c>
      <c r="M111" s="3" t="s">
        <v>958</v>
      </c>
      <c r="N111" s="3" t="s">
        <v>959</v>
      </c>
      <c r="O111" s="5" t="s">
        <v>5</v>
      </c>
      <c r="P111" s="5"/>
      <c r="Q111" s="5"/>
      <c r="R111" s="11"/>
      <c r="S111" s="11"/>
      <c r="T111" s="13"/>
      <c r="U111" s="11" t="s">
        <v>960</v>
      </c>
    </row>
    <row r="112" spans="1:21" ht="72" customHeight="1">
      <c r="A112" s="7">
        <v>106</v>
      </c>
      <c r="B112" s="7" t="s">
        <v>961</v>
      </c>
      <c r="C112" s="7" t="s">
        <v>962</v>
      </c>
      <c r="D112" s="7" t="s">
        <v>963</v>
      </c>
      <c r="E112" s="3" t="s">
        <v>956</v>
      </c>
      <c r="F112" s="3" t="s">
        <v>964</v>
      </c>
      <c r="G112" s="9" t="s">
        <v>11</v>
      </c>
      <c r="H112" s="9" t="s">
        <v>198</v>
      </c>
      <c r="I112" s="9" t="s">
        <v>199</v>
      </c>
      <c r="J112" s="9" t="s">
        <v>200</v>
      </c>
      <c r="K112" s="3" t="s">
        <v>201</v>
      </c>
      <c r="L112" s="3" t="s">
        <v>202</v>
      </c>
      <c r="M112" s="3" t="s">
        <v>965</v>
      </c>
      <c r="N112" s="3" t="s">
        <v>966</v>
      </c>
      <c r="O112" s="5" t="s">
        <v>5</v>
      </c>
      <c r="P112" s="5"/>
      <c r="Q112" s="5"/>
      <c r="R112" s="11"/>
      <c r="S112" s="11"/>
      <c r="T112" s="13"/>
      <c r="U112" s="11" t="s">
        <v>967</v>
      </c>
    </row>
    <row r="113" spans="1:21" ht="72" customHeight="1">
      <c r="A113" s="7">
        <v>107</v>
      </c>
      <c r="B113" s="7" t="s">
        <v>968</v>
      </c>
      <c r="C113" s="7" t="s">
        <v>969</v>
      </c>
      <c r="D113" s="7" t="s">
        <v>970</v>
      </c>
      <c r="E113" s="3" t="s">
        <v>956</v>
      </c>
      <c r="F113" s="3" t="s">
        <v>971</v>
      </c>
      <c r="G113" s="9" t="s">
        <v>10</v>
      </c>
      <c r="H113" s="9" t="s">
        <v>198</v>
      </c>
      <c r="I113" s="9" t="s">
        <v>199</v>
      </c>
      <c r="J113" s="9" t="s">
        <v>200</v>
      </c>
      <c r="K113" s="3" t="s">
        <v>201</v>
      </c>
      <c r="L113" s="3" t="s">
        <v>202</v>
      </c>
      <c r="M113" s="3" t="s">
        <v>972</v>
      </c>
      <c r="N113" s="3" t="s">
        <v>973</v>
      </c>
      <c r="O113" s="5" t="s">
        <v>5</v>
      </c>
      <c r="P113" s="5"/>
      <c r="Q113" s="5"/>
      <c r="R113" s="11"/>
      <c r="S113" s="11"/>
      <c r="T113" s="13"/>
      <c r="U113" s="11" t="s">
        <v>974</v>
      </c>
    </row>
    <row r="114" spans="1:21" ht="72" customHeight="1">
      <c r="A114" s="7">
        <v>108</v>
      </c>
      <c r="B114" s="7" t="s">
        <v>975</v>
      </c>
      <c r="C114" s="7" t="s">
        <v>976</v>
      </c>
      <c r="D114" s="7" t="s">
        <v>977</v>
      </c>
      <c r="E114" s="3" t="s">
        <v>956</v>
      </c>
      <c r="F114" s="3" t="s">
        <v>978</v>
      </c>
      <c r="G114" s="9" t="s">
        <v>10</v>
      </c>
      <c r="H114" s="9" t="s">
        <v>198</v>
      </c>
      <c r="I114" s="9" t="s">
        <v>199</v>
      </c>
      <c r="J114" s="9" t="s">
        <v>200</v>
      </c>
      <c r="K114" s="3" t="s">
        <v>201</v>
      </c>
      <c r="L114" s="3" t="s">
        <v>202</v>
      </c>
      <c r="M114" s="3" t="s">
        <v>979</v>
      </c>
      <c r="N114" s="3" t="s">
        <v>980</v>
      </c>
      <c r="O114" s="5" t="s">
        <v>5</v>
      </c>
      <c r="P114" s="5"/>
      <c r="Q114" s="5"/>
      <c r="R114" s="11"/>
      <c r="S114" s="11"/>
      <c r="T114" s="13"/>
      <c r="U114" s="11" t="s">
        <v>981</v>
      </c>
    </row>
    <row r="115" spans="1:21" ht="72" customHeight="1">
      <c r="A115" s="7">
        <v>109</v>
      </c>
      <c r="B115" s="7" t="s">
        <v>982</v>
      </c>
      <c r="C115" s="7" t="s">
        <v>983</v>
      </c>
      <c r="D115" s="7" t="s">
        <v>984</v>
      </c>
      <c r="E115" s="3" t="s">
        <v>956</v>
      </c>
      <c r="F115" s="3" t="s">
        <v>985</v>
      </c>
      <c r="G115" s="9" t="s">
        <v>10</v>
      </c>
      <c r="H115" s="9" t="s">
        <v>198</v>
      </c>
      <c r="I115" s="9" t="s">
        <v>199</v>
      </c>
      <c r="J115" s="9" t="s">
        <v>200</v>
      </c>
      <c r="K115" s="3" t="s">
        <v>201</v>
      </c>
      <c r="L115" s="3" t="s">
        <v>202</v>
      </c>
      <c r="M115" s="3" t="s">
        <v>986</v>
      </c>
      <c r="N115" s="3" t="s">
        <v>987</v>
      </c>
      <c r="O115" s="5" t="s">
        <v>5</v>
      </c>
      <c r="P115" s="5"/>
      <c r="Q115" s="5"/>
      <c r="R115" s="11"/>
      <c r="S115" s="11"/>
      <c r="T115" s="13"/>
      <c r="U115" s="11" t="s">
        <v>988</v>
      </c>
    </row>
    <row r="116" spans="1:21" ht="72" customHeight="1">
      <c r="A116" s="7">
        <v>110</v>
      </c>
      <c r="B116" s="7" t="s">
        <v>989</v>
      </c>
      <c r="C116" s="7" t="s">
        <v>990</v>
      </c>
      <c r="D116" s="7" t="s">
        <v>991</v>
      </c>
      <c r="E116" s="3" t="s">
        <v>956</v>
      </c>
      <c r="F116" s="3" t="s">
        <v>992</v>
      </c>
      <c r="G116" s="9" t="s">
        <v>10</v>
      </c>
      <c r="H116" s="9" t="s">
        <v>198</v>
      </c>
      <c r="I116" s="9" t="s">
        <v>199</v>
      </c>
      <c r="J116" s="9" t="s">
        <v>200</v>
      </c>
      <c r="K116" s="3" t="s">
        <v>201</v>
      </c>
      <c r="L116" s="3" t="s">
        <v>202</v>
      </c>
      <c r="M116" s="3" t="s">
        <v>993</v>
      </c>
      <c r="N116" s="3" t="s">
        <v>994</v>
      </c>
      <c r="O116" s="5" t="s">
        <v>5</v>
      </c>
      <c r="P116" s="5"/>
      <c r="Q116" s="5"/>
      <c r="R116" s="11"/>
      <c r="S116" s="11"/>
      <c r="T116" s="13"/>
      <c r="U116" s="11" t="s">
        <v>995</v>
      </c>
    </row>
    <row r="117" spans="1:21" ht="72" customHeight="1">
      <c r="A117" s="7">
        <v>111</v>
      </c>
      <c r="B117" s="7" t="s">
        <v>996</v>
      </c>
      <c r="C117" s="7" t="s">
        <v>227</v>
      </c>
      <c r="D117" s="7" t="s">
        <v>228</v>
      </c>
      <c r="E117" s="3" t="s">
        <v>229</v>
      </c>
      <c r="F117" s="3" t="s">
        <v>997</v>
      </c>
      <c r="G117" s="9" t="s">
        <v>10</v>
      </c>
      <c r="H117" s="9" t="s">
        <v>231</v>
      </c>
      <c r="I117" s="9" t="s">
        <v>199</v>
      </c>
      <c r="J117" s="9" t="s">
        <v>998</v>
      </c>
      <c r="K117" s="3" t="s">
        <v>233</v>
      </c>
      <c r="L117" s="3" t="s">
        <v>999</v>
      </c>
      <c r="M117" s="3" t="s">
        <v>1000</v>
      </c>
      <c r="N117" s="3" t="s">
        <v>1001</v>
      </c>
      <c r="O117" s="5" t="s">
        <v>5</v>
      </c>
      <c r="P117" s="5"/>
      <c r="Q117" s="5"/>
      <c r="R117" s="11"/>
      <c r="S117" s="11"/>
      <c r="T117" s="13"/>
      <c r="U117" s="11" t="s">
        <v>1002</v>
      </c>
    </row>
    <row r="118" spans="1:21" ht="72" customHeight="1">
      <c r="A118" s="7">
        <v>112</v>
      </c>
      <c r="B118" s="7" t="s">
        <v>1003</v>
      </c>
      <c r="C118" s="7" t="s">
        <v>227</v>
      </c>
      <c r="D118" s="7" t="s">
        <v>228</v>
      </c>
      <c r="E118" s="3" t="s">
        <v>229</v>
      </c>
      <c r="F118" s="3" t="s">
        <v>1004</v>
      </c>
      <c r="G118" s="9" t="s">
        <v>10</v>
      </c>
      <c r="H118" s="9" t="s">
        <v>231</v>
      </c>
      <c r="I118" s="9" t="s">
        <v>199</v>
      </c>
      <c r="J118" s="9" t="s">
        <v>998</v>
      </c>
      <c r="K118" s="3" t="s">
        <v>233</v>
      </c>
      <c r="L118" s="3" t="s">
        <v>1005</v>
      </c>
      <c r="M118" s="3" t="s">
        <v>1006</v>
      </c>
      <c r="N118" s="3" t="s">
        <v>1007</v>
      </c>
      <c r="O118" s="5" t="s">
        <v>5</v>
      </c>
      <c r="P118" s="5"/>
      <c r="Q118" s="5"/>
      <c r="R118" s="11"/>
      <c r="S118" s="11"/>
      <c r="T118" s="13"/>
      <c r="U118" s="11" t="s">
        <v>1002</v>
      </c>
    </row>
    <row r="119" spans="1:21" ht="72" customHeight="1">
      <c r="A119" s="7">
        <v>113</v>
      </c>
      <c r="B119" s="7" t="s">
        <v>1008</v>
      </c>
      <c r="C119" s="7" t="s">
        <v>227</v>
      </c>
      <c r="D119" s="7" t="s">
        <v>228</v>
      </c>
      <c r="E119" s="3" t="s">
        <v>229</v>
      </c>
      <c r="F119" s="3" t="s">
        <v>1009</v>
      </c>
      <c r="G119" s="9" t="s">
        <v>10</v>
      </c>
      <c r="H119" s="9" t="s">
        <v>1010</v>
      </c>
      <c r="I119" s="9" t="s">
        <v>199</v>
      </c>
      <c r="J119" s="9" t="s">
        <v>1011</v>
      </c>
      <c r="K119" s="3" t="s">
        <v>233</v>
      </c>
      <c r="L119" s="3" t="s">
        <v>1012</v>
      </c>
      <c r="M119" s="3" t="s">
        <v>1013</v>
      </c>
      <c r="N119" s="3" t="s">
        <v>1014</v>
      </c>
      <c r="O119" s="5" t="s">
        <v>5</v>
      </c>
      <c r="P119" s="5"/>
      <c r="Q119" s="5"/>
      <c r="R119" s="11"/>
      <c r="S119" s="11"/>
      <c r="T119" s="13"/>
      <c r="U119" s="11" t="s">
        <v>1015</v>
      </c>
    </row>
    <row r="120" spans="1:21" ht="72" customHeight="1">
      <c r="A120" s="7">
        <v>114</v>
      </c>
      <c r="B120" s="7" t="s">
        <v>1016</v>
      </c>
      <c r="C120" s="7" t="s">
        <v>239</v>
      </c>
      <c r="D120" s="7" t="s">
        <v>240</v>
      </c>
      <c r="E120" s="3" t="s">
        <v>229</v>
      </c>
      <c r="F120" s="3" t="s">
        <v>1017</v>
      </c>
      <c r="G120" s="9" t="s">
        <v>10</v>
      </c>
      <c r="H120" s="9" t="s">
        <v>1018</v>
      </c>
      <c r="I120" s="9" t="s">
        <v>199</v>
      </c>
      <c r="J120" s="9" t="s">
        <v>232</v>
      </c>
      <c r="K120" s="3" t="s">
        <v>233</v>
      </c>
      <c r="L120" s="3" t="s">
        <v>1019</v>
      </c>
      <c r="M120" s="3" t="s">
        <v>1020</v>
      </c>
      <c r="N120" s="3" t="s">
        <v>1021</v>
      </c>
      <c r="O120" s="5" t="s">
        <v>5</v>
      </c>
      <c r="P120" s="5"/>
      <c r="Q120" s="5"/>
      <c r="R120" s="11"/>
      <c r="S120" s="11"/>
      <c r="T120" s="13"/>
      <c r="U120" s="11" t="s">
        <v>244</v>
      </c>
    </row>
    <row r="121" spans="1:21" ht="72" customHeight="1">
      <c r="A121" s="7">
        <v>115</v>
      </c>
      <c r="B121" s="7" t="s">
        <v>1022</v>
      </c>
      <c r="C121" s="7" t="s">
        <v>239</v>
      </c>
      <c r="D121" s="7" t="s">
        <v>240</v>
      </c>
      <c r="E121" s="3" t="s">
        <v>229</v>
      </c>
      <c r="F121" s="3" t="s">
        <v>1023</v>
      </c>
      <c r="G121" s="9" t="s">
        <v>10</v>
      </c>
      <c r="H121" s="9" t="s">
        <v>1018</v>
      </c>
      <c r="I121" s="9" t="s">
        <v>199</v>
      </c>
      <c r="J121" s="9" t="s">
        <v>232</v>
      </c>
      <c r="K121" s="3" t="s">
        <v>233</v>
      </c>
      <c r="L121" s="3" t="s">
        <v>1024</v>
      </c>
      <c r="M121" s="3" t="s">
        <v>1025</v>
      </c>
      <c r="N121" s="3" t="s">
        <v>1026</v>
      </c>
      <c r="O121" s="5" t="s">
        <v>5</v>
      </c>
      <c r="P121" s="5"/>
      <c r="Q121" s="5"/>
      <c r="R121" s="11"/>
      <c r="S121" s="11"/>
      <c r="T121" s="13"/>
      <c r="U121" s="11" t="s">
        <v>244</v>
      </c>
    </row>
    <row r="122" spans="1:21" ht="72" customHeight="1">
      <c r="A122" s="7">
        <v>116</v>
      </c>
      <c r="B122" s="7" t="s">
        <v>1027</v>
      </c>
      <c r="C122" s="7" t="s">
        <v>239</v>
      </c>
      <c r="D122" s="7" t="s">
        <v>240</v>
      </c>
      <c r="E122" s="3" t="s">
        <v>229</v>
      </c>
      <c r="F122" s="3" t="s">
        <v>1028</v>
      </c>
      <c r="G122" s="9" t="s">
        <v>10</v>
      </c>
      <c r="H122" s="9" t="s">
        <v>1029</v>
      </c>
      <c r="I122" s="9" t="s">
        <v>199</v>
      </c>
      <c r="J122" s="9" t="s">
        <v>232</v>
      </c>
      <c r="K122" s="3" t="s">
        <v>233</v>
      </c>
      <c r="L122" s="3" t="s">
        <v>1030</v>
      </c>
      <c r="M122" s="3" t="s">
        <v>1031</v>
      </c>
      <c r="N122" s="3" t="s">
        <v>1032</v>
      </c>
      <c r="O122" s="5" t="s">
        <v>5</v>
      </c>
      <c r="P122" s="5"/>
      <c r="Q122" s="5"/>
      <c r="R122" s="11"/>
      <c r="S122" s="11"/>
      <c r="T122" s="13"/>
      <c r="U122" s="11" t="s">
        <v>244</v>
      </c>
    </row>
    <row r="123" spans="1:21" ht="72" customHeight="1">
      <c r="A123" s="7">
        <v>117</v>
      </c>
      <c r="B123" s="7" t="s">
        <v>1033</v>
      </c>
      <c r="C123" s="7" t="s">
        <v>246</v>
      </c>
      <c r="D123" s="7" t="s">
        <v>247</v>
      </c>
      <c r="E123" s="3" t="s">
        <v>229</v>
      </c>
      <c r="F123" s="3" t="s">
        <v>1034</v>
      </c>
      <c r="G123" s="9" t="s">
        <v>10</v>
      </c>
      <c r="H123" s="9" t="s">
        <v>1035</v>
      </c>
      <c r="I123" s="9" t="s">
        <v>199</v>
      </c>
      <c r="J123" s="9" t="s">
        <v>232</v>
      </c>
      <c r="K123" s="3" t="s">
        <v>233</v>
      </c>
      <c r="L123" s="3" t="s">
        <v>1036</v>
      </c>
      <c r="M123" s="3" t="s">
        <v>1037</v>
      </c>
      <c r="N123" s="3" t="s">
        <v>1038</v>
      </c>
      <c r="O123" s="5" t="s">
        <v>5</v>
      </c>
      <c r="P123" s="5"/>
      <c r="Q123" s="5"/>
      <c r="R123" s="11"/>
      <c r="S123" s="11"/>
      <c r="T123" s="13"/>
      <c r="U123" s="11" t="s">
        <v>252</v>
      </c>
    </row>
    <row r="124" spans="1:21" ht="72" customHeight="1">
      <c r="A124" s="7">
        <v>118</v>
      </c>
      <c r="B124" s="7" t="s">
        <v>1039</v>
      </c>
      <c r="C124" s="7" t="s">
        <v>254</v>
      </c>
      <c r="D124" s="7" t="s">
        <v>255</v>
      </c>
      <c r="E124" s="3" t="s">
        <v>229</v>
      </c>
      <c r="F124" s="3" t="s">
        <v>1040</v>
      </c>
      <c r="G124" s="9" t="s">
        <v>10</v>
      </c>
      <c r="H124" s="9" t="s">
        <v>744</v>
      </c>
      <c r="I124" s="9" t="s">
        <v>199</v>
      </c>
      <c r="J124" s="9" t="s">
        <v>232</v>
      </c>
      <c r="K124" s="3" t="s">
        <v>233</v>
      </c>
      <c r="L124" s="3" t="s">
        <v>1041</v>
      </c>
      <c r="M124" s="3" t="s">
        <v>1042</v>
      </c>
      <c r="N124" s="3" t="s">
        <v>1043</v>
      </c>
      <c r="O124" s="5" t="s">
        <v>5</v>
      </c>
      <c r="P124" s="5"/>
      <c r="Q124" s="5"/>
      <c r="R124" s="11"/>
      <c r="S124" s="11"/>
      <c r="T124" s="13"/>
      <c r="U124" s="11" t="s">
        <v>259</v>
      </c>
    </row>
    <row r="125" spans="1:21" ht="72" customHeight="1">
      <c r="A125" s="7">
        <v>119</v>
      </c>
      <c r="B125" s="7" t="s">
        <v>1044</v>
      </c>
      <c r="C125" s="7" t="s">
        <v>261</v>
      </c>
      <c r="D125" s="7" t="s">
        <v>262</v>
      </c>
      <c r="E125" s="3" t="s">
        <v>229</v>
      </c>
      <c r="F125" s="3" t="s">
        <v>1045</v>
      </c>
      <c r="G125" s="9" t="s">
        <v>10</v>
      </c>
      <c r="H125" s="9" t="s">
        <v>1046</v>
      </c>
      <c r="I125" s="9" t="s">
        <v>199</v>
      </c>
      <c r="J125" s="9" t="s">
        <v>232</v>
      </c>
      <c r="K125" s="3" t="s">
        <v>233</v>
      </c>
      <c r="L125" s="3" t="s">
        <v>1047</v>
      </c>
      <c r="M125" s="3" t="s">
        <v>1048</v>
      </c>
      <c r="N125" s="3" t="s">
        <v>1049</v>
      </c>
      <c r="O125" s="5" t="s">
        <v>5</v>
      </c>
      <c r="P125" s="5"/>
      <c r="Q125" s="5"/>
      <c r="R125" s="11"/>
      <c r="S125" s="11"/>
      <c r="T125" s="13"/>
      <c r="U125" s="11" t="s">
        <v>266</v>
      </c>
    </row>
    <row r="126" spans="1:21" ht="72" customHeight="1">
      <c r="A126" s="7">
        <v>120</v>
      </c>
      <c r="B126" s="7" t="s">
        <v>1050</v>
      </c>
      <c r="C126" s="7" t="s">
        <v>268</v>
      </c>
      <c r="D126" s="7" t="s">
        <v>269</v>
      </c>
      <c r="E126" s="3" t="s">
        <v>229</v>
      </c>
      <c r="F126" s="3" t="s">
        <v>1051</v>
      </c>
      <c r="G126" s="9" t="s">
        <v>10</v>
      </c>
      <c r="H126" s="9" t="s">
        <v>1052</v>
      </c>
      <c r="I126" s="9" t="s">
        <v>199</v>
      </c>
      <c r="J126" s="9" t="s">
        <v>232</v>
      </c>
      <c r="K126" s="3" t="s">
        <v>233</v>
      </c>
      <c r="L126" s="3" t="s">
        <v>1053</v>
      </c>
      <c r="M126" s="3" t="s">
        <v>1054</v>
      </c>
      <c r="N126" s="3" t="s">
        <v>1055</v>
      </c>
      <c r="O126" s="5" t="s">
        <v>5</v>
      </c>
      <c r="P126" s="5"/>
      <c r="Q126" s="5"/>
      <c r="R126" s="11"/>
      <c r="S126" s="11"/>
      <c r="T126" s="13"/>
      <c r="U126" s="11" t="s">
        <v>273</v>
      </c>
    </row>
    <row r="127" spans="1:21" ht="72" customHeight="1">
      <c r="A127" s="7">
        <v>121</v>
      </c>
      <c r="B127" s="7" t="s">
        <v>1056</v>
      </c>
      <c r="C127" s="7" t="s">
        <v>275</v>
      </c>
      <c r="D127" s="7" t="s">
        <v>276</v>
      </c>
      <c r="E127" s="3" t="s">
        <v>229</v>
      </c>
      <c r="F127" s="3" t="s">
        <v>1057</v>
      </c>
      <c r="G127" s="9" t="s">
        <v>10</v>
      </c>
      <c r="H127" s="9" t="s">
        <v>1058</v>
      </c>
      <c r="I127" s="9" t="s">
        <v>199</v>
      </c>
      <c r="J127" s="9" t="s">
        <v>1059</v>
      </c>
      <c r="K127" s="3" t="s">
        <v>233</v>
      </c>
      <c r="L127" s="3" t="s">
        <v>1060</v>
      </c>
      <c r="M127" s="3" t="s">
        <v>1061</v>
      </c>
      <c r="N127" s="3" t="s">
        <v>1062</v>
      </c>
      <c r="O127" s="5" t="s">
        <v>5</v>
      </c>
      <c r="P127" s="5"/>
      <c r="Q127" s="5"/>
      <c r="R127" s="11"/>
      <c r="S127" s="11"/>
      <c r="T127" s="13"/>
      <c r="U127" s="11" t="s">
        <v>281</v>
      </c>
    </row>
    <row r="128" spans="1:21" ht="72" customHeight="1">
      <c r="A128" s="7">
        <v>122</v>
      </c>
      <c r="B128" s="7" t="s">
        <v>1063</v>
      </c>
      <c r="C128" s="7" t="s">
        <v>275</v>
      </c>
      <c r="D128" s="7" t="s">
        <v>276</v>
      </c>
      <c r="E128" s="3" t="s">
        <v>229</v>
      </c>
      <c r="F128" s="3" t="s">
        <v>1064</v>
      </c>
      <c r="G128" s="9" t="s">
        <v>10</v>
      </c>
      <c r="H128" s="9" t="s">
        <v>1058</v>
      </c>
      <c r="I128" s="9" t="s">
        <v>199</v>
      </c>
      <c r="J128" s="9" t="s">
        <v>1065</v>
      </c>
      <c r="K128" s="3" t="s">
        <v>233</v>
      </c>
      <c r="L128" s="3" t="s">
        <v>1060</v>
      </c>
      <c r="M128" s="3" t="s">
        <v>1061</v>
      </c>
      <c r="N128" s="3" t="s">
        <v>1062</v>
      </c>
      <c r="O128" s="5" t="s">
        <v>5</v>
      </c>
      <c r="P128" s="5"/>
      <c r="Q128" s="5"/>
      <c r="R128" s="11"/>
      <c r="S128" s="11"/>
      <c r="T128" s="13"/>
      <c r="U128" s="11" t="s">
        <v>281</v>
      </c>
    </row>
    <row r="129" spans="1:21" ht="72" customHeight="1">
      <c r="A129" s="7">
        <v>123</v>
      </c>
      <c r="B129" s="7" t="s">
        <v>1066</v>
      </c>
      <c r="C129" s="7" t="s">
        <v>283</v>
      </c>
      <c r="D129" s="7" t="s">
        <v>284</v>
      </c>
      <c r="E129" s="3" t="s">
        <v>229</v>
      </c>
      <c r="F129" s="3" t="s">
        <v>1067</v>
      </c>
      <c r="G129" s="9" t="s">
        <v>10</v>
      </c>
      <c r="H129" s="9" t="s">
        <v>286</v>
      </c>
      <c r="I129" s="9" t="s">
        <v>199</v>
      </c>
      <c r="J129" s="9" t="s">
        <v>425</v>
      </c>
      <c r="K129" s="3" t="s">
        <v>233</v>
      </c>
      <c r="L129" s="3" t="s">
        <v>1068</v>
      </c>
      <c r="M129" s="3" t="s">
        <v>1069</v>
      </c>
      <c r="N129" s="3" t="s">
        <v>1070</v>
      </c>
      <c r="O129" s="5" t="s">
        <v>5</v>
      </c>
      <c r="P129" s="5"/>
      <c r="Q129" s="5"/>
      <c r="R129" s="11"/>
      <c r="S129" s="11"/>
      <c r="T129" s="13"/>
      <c r="U129" s="11" t="s">
        <v>289</v>
      </c>
    </row>
    <row r="130" spans="1:21" ht="72" customHeight="1">
      <c r="A130" s="7">
        <v>124</v>
      </c>
      <c r="B130" s="7" t="s">
        <v>1071</v>
      </c>
      <c r="C130" s="7" t="s">
        <v>283</v>
      </c>
      <c r="D130" s="7" t="s">
        <v>284</v>
      </c>
      <c r="E130" s="3" t="s">
        <v>229</v>
      </c>
      <c r="F130" s="3" t="s">
        <v>1072</v>
      </c>
      <c r="G130" s="9" t="s">
        <v>10</v>
      </c>
      <c r="H130" s="9" t="s">
        <v>1073</v>
      </c>
      <c r="I130" s="9" t="s">
        <v>199</v>
      </c>
      <c r="J130" s="9" t="s">
        <v>425</v>
      </c>
      <c r="K130" s="3" t="s">
        <v>233</v>
      </c>
      <c r="L130" s="3" t="s">
        <v>1074</v>
      </c>
      <c r="M130" s="3" t="s">
        <v>1075</v>
      </c>
      <c r="N130" s="3" t="s">
        <v>1076</v>
      </c>
      <c r="O130" s="5" t="s">
        <v>5</v>
      </c>
      <c r="P130" s="5"/>
      <c r="Q130" s="5"/>
      <c r="R130" s="11"/>
      <c r="S130" s="11"/>
      <c r="T130" s="13"/>
      <c r="U130" s="11" t="s">
        <v>289</v>
      </c>
    </row>
    <row r="131" spans="1:21" ht="72" customHeight="1">
      <c r="A131" s="7">
        <v>125</v>
      </c>
      <c r="B131" s="7" t="s">
        <v>1077</v>
      </c>
      <c r="C131" s="7" t="s">
        <v>307</v>
      </c>
      <c r="D131" s="7" t="s">
        <v>308</v>
      </c>
      <c r="E131" s="3" t="s">
        <v>300</v>
      </c>
      <c r="F131" s="3" t="s">
        <v>1078</v>
      </c>
      <c r="G131" s="9" t="s">
        <v>10</v>
      </c>
      <c r="H131" s="9" t="s">
        <v>1079</v>
      </c>
      <c r="I131" s="9" t="s">
        <v>199</v>
      </c>
      <c r="J131" s="9" t="s">
        <v>1080</v>
      </c>
      <c r="K131" s="3" t="s">
        <v>302</v>
      </c>
      <c r="L131" s="3" t="s">
        <v>1081</v>
      </c>
      <c r="M131" s="3" t="s">
        <v>1082</v>
      </c>
      <c r="N131" s="3" t="s">
        <v>1083</v>
      </c>
      <c r="O131" s="5" t="s">
        <v>5</v>
      </c>
      <c r="P131" s="5"/>
      <c r="Q131" s="5"/>
      <c r="R131" s="11"/>
      <c r="S131" s="11"/>
      <c r="T131" s="13"/>
      <c r="U131" s="11" t="s">
        <v>312</v>
      </c>
    </row>
    <row r="132" spans="1:21" ht="72" customHeight="1">
      <c r="A132" s="7">
        <v>126</v>
      </c>
      <c r="B132" s="7" t="s">
        <v>1084</v>
      </c>
      <c r="C132" s="7" t="s">
        <v>307</v>
      </c>
      <c r="D132" s="7" t="s">
        <v>308</v>
      </c>
      <c r="E132" s="3" t="s">
        <v>300</v>
      </c>
      <c r="F132" s="3" t="s">
        <v>1085</v>
      </c>
      <c r="G132" s="9" t="s">
        <v>10</v>
      </c>
      <c r="H132" s="9" t="s">
        <v>1079</v>
      </c>
      <c r="I132" s="9" t="s">
        <v>199</v>
      </c>
      <c r="J132" s="9" t="s">
        <v>1086</v>
      </c>
      <c r="K132" s="3" t="s">
        <v>302</v>
      </c>
      <c r="L132" s="3" t="s">
        <v>1081</v>
      </c>
      <c r="M132" s="3" t="s">
        <v>1082</v>
      </c>
      <c r="N132" s="3" t="s">
        <v>1083</v>
      </c>
      <c r="O132" s="5" t="s">
        <v>5</v>
      </c>
      <c r="P132" s="5"/>
      <c r="Q132" s="5"/>
      <c r="R132" s="11"/>
      <c r="S132" s="11"/>
      <c r="T132" s="13"/>
      <c r="U132" s="11" t="s">
        <v>312</v>
      </c>
    </row>
    <row r="133" spans="1:21" ht="72" customHeight="1">
      <c r="A133" s="7">
        <v>127</v>
      </c>
      <c r="B133" s="7" t="s">
        <v>1087</v>
      </c>
      <c r="C133" s="7" t="s">
        <v>314</v>
      </c>
      <c r="D133" s="7" t="s">
        <v>315</v>
      </c>
      <c r="E133" s="3" t="s">
        <v>300</v>
      </c>
      <c r="F133" s="3" t="s">
        <v>1088</v>
      </c>
      <c r="G133" s="9" t="s">
        <v>11</v>
      </c>
      <c r="H133" s="9" t="s">
        <v>1089</v>
      </c>
      <c r="I133" s="9" t="s">
        <v>199</v>
      </c>
      <c r="J133" s="9" t="s">
        <v>232</v>
      </c>
      <c r="K133" s="3" t="s">
        <v>302</v>
      </c>
      <c r="L133" s="3" t="s">
        <v>1090</v>
      </c>
      <c r="M133" s="3" t="s">
        <v>1091</v>
      </c>
      <c r="N133" s="3" t="s">
        <v>1092</v>
      </c>
      <c r="O133" s="5" t="s">
        <v>5</v>
      </c>
      <c r="P133" s="5"/>
      <c r="Q133" s="5"/>
      <c r="R133" s="11"/>
      <c r="S133" s="11"/>
      <c r="T133" s="13"/>
      <c r="U133" s="11" t="s">
        <v>319</v>
      </c>
    </row>
    <row r="134" spans="1:21" ht="72" customHeight="1">
      <c r="A134" s="7">
        <v>128</v>
      </c>
      <c r="B134" s="7" t="s">
        <v>1093</v>
      </c>
      <c r="C134" s="7" t="s">
        <v>314</v>
      </c>
      <c r="D134" s="7" t="s">
        <v>315</v>
      </c>
      <c r="E134" s="3" t="s">
        <v>300</v>
      </c>
      <c r="F134" s="3" t="s">
        <v>1094</v>
      </c>
      <c r="G134" s="9" t="s">
        <v>11</v>
      </c>
      <c r="H134" s="9" t="s">
        <v>1089</v>
      </c>
      <c r="I134" s="9" t="s">
        <v>199</v>
      </c>
      <c r="J134" s="9" t="s">
        <v>232</v>
      </c>
      <c r="K134" s="3" t="s">
        <v>302</v>
      </c>
      <c r="L134" s="3" t="s">
        <v>1095</v>
      </c>
      <c r="M134" s="3" t="s">
        <v>1096</v>
      </c>
      <c r="N134" s="3" t="s">
        <v>1097</v>
      </c>
      <c r="O134" s="5" t="s">
        <v>5</v>
      </c>
      <c r="P134" s="5"/>
      <c r="Q134" s="5"/>
      <c r="R134" s="11"/>
      <c r="S134" s="11"/>
      <c r="T134" s="13"/>
      <c r="U134" s="11" t="s">
        <v>319</v>
      </c>
    </row>
    <row r="135" spans="1:21" ht="72" customHeight="1">
      <c r="A135" s="7">
        <v>129</v>
      </c>
      <c r="B135" s="7" t="s">
        <v>1098</v>
      </c>
      <c r="C135" s="7" t="s">
        <v>343</v>
      </c>
      <c r="D135" s="7" t="s">
        <v>344</v>
      </c>
      <c r="E135" s="3" t="s">
        <v>345</v>
      </c>
      <c r="F135" s="3" t="s">
        <v>1099</v>
      </c>
      <c r="G135" s="9" t="s">
        <v>10</v>
      </c>
      <c r="H135" s="9" t="s">
        <v>1100</v>
      </c>
      <c r="I135" s="9" t="s">
        <v>199</v>
      </c>
      <c r="J135" s="9" t="s">
        <v>278</v>
      </c>
      <c r="K135" s="3" t="s">
        <v>233</v>
      </c>
      <c r="L135" s="3" t="s">
        <v>1101</v>
      </c>
      <c r="M135" s="3" t="s">
        <v>1102</v>
      </c>
      <c r="N135" s="3" t="s">
        <v>1103</v>
      </c>
      <c r="O135" s="5" t="s">
        <v>5</v>
      </c>
      <c r="P135" s="5"/>
      <c r="Q135" s="5"/>
      <c r="R135" s="11"/>
      <c r="S135" s="11"/>
      <c r="T135" s="13"/>
      <c r="U135" s="11" t="s">
        <v>349</v>
      </c>
    </row>
    <row r="136" spans="1:21" ht="72" customHeight="1">
      <c r="A136" s="7">
        <v>130</v>
      </c>
      <c r="B136" s="7" t="s">
        <v>1104</v>
      </c>
      <c r="C136" s="7" t="s">
        <v>379</v>
      </c>
      <c r="D136" s="7" t="s">
        <v>380</v>
      </c>
      <c r="E136" s="3" t="s">
        <v>345</v>
      </c>
      <c r="F136" s="3" t="s">
        <v>1105</v>
      </c>
      <c r="G136" s="9" t="s">
        <v>10</v>
      </c>
      <c r="H136" s="9" t="s">
        <v>1106</v>
      </c>
      <c r="I136" s="9" t="s">
        <v>199</v>
      </c>
      <c r="J136" s="9" t="s">
        <v>232</v>
      </c>
      <c r="K136" s="3" t="s">
        <v>233</v>
      </c>
      <c r="L136" s="3" t="s">
        <v>1107</v>
      </c>
      <c r="M136" s="3" t="s">
        <v>1108</v>
      </c>
      <c r="N136" s="3" t="s">
        <v>1109</v>
      </c>
      <c r="O136" s="5" t="s">
        <v>5</v>
      </c>
      <c r="P136" s="5"/>
      <c r="Q136" s="5"/>
      <c r="R136" s="11"/>
      <c r="S136" s="11"/>
      <c r="T136" s="13"/>
      <c r="U136" s="11" t="s">
        <v>384</v>
      </c>
    </row>
    <row r="137" spans="1:21" ht="72" customHeight="1">
      <c r="A137" s="7">
        <v>131</v>
      </c>
      <c r="B137" s="7" t="s">
        <v>1110</v>
      </c>
      <c r="C137" s="7" t="s">
        <v>386</v>
      </c>
      <c r="D137" s="7" t="s">
        <v>387</v>
      </c>
      <c r="E137" s="3" t="s">
        <v>345</v>
      </c>
      <c r="F137" s="3" t="s">
        <v>1111</v>
      </c>
      <c r="G137" s="9" t="s">
        <v>10</v>
      </c>
      <c r="H137" s="9" t="s">
        <v>1112</v>
      </c>
      <c r="I137" s="9" t="s">
        <v>199</v>
      </c>
      <c r="J137" s="9" t="s">
        <v>232</v>
      </c>
      <c r="K137" s="3" t="s">
        <v>233</v>
      </c>
      <c r="L137" s="3" t="s">
        <v>1113</v>
      </c>
      <c r="M137" s="3" t="s">
        <v>1114</v>
      </c>
      <c r="N137" s="3" t="s">
        <v>1115</v>
      </c>
      <c r="O137" s="5" t="s">
        <v>5</v>
      </c>
      <c r="P137" s="5"/>
      <c r="Q137" s="5"/>
      <c r="R137" s="11"/>
      <c r="S137" s="11"/>
      <c r="T137" s="13"/>
      <c r="U137" s="11" t="s">
        <v>391</v>
      </c>
    </row>
    <row r="138" spans="1:21" ht="72" customHeight="1">
      <c r="A138" s="7">
        <v>132</v>
      </c>
      <c r="B138" s="7" t="s">
        <v>1116</v>
      </c>
      <c r="C138" s="7" t="s">
        <v>407</v>
      </c>
      <c r="D138" s="7" t="s">
        <v>408</v>
      </c>
      <c r="E138" s="3" t="s">
        <v>345</v>
      </c>
      <c r="F138" s="3" t="s">
        <v>1117</v>
      </c>
      <c r="G138" s="9" t="s">
        <v>10</v>
      </c>
      <c r="H138" s="9" t="s">
        <v>1029</v>
      </c>
      <c r="I138" s="9" t="s">
        <v>199</v>
      </c>
      <c r="J138" s="9" t="s">
        <v>232</v>
      </c>
      <c r="K138" s="3" t="s">
        <v>233</v>
      </c>
      <c r="L138" s="3" t="s">
        <v>1118</v>
      </c>
      <c r="M138" s="3" t="s">
        <v>1119</v>
      </c>
      <c r="N138" s="3" t="s">
        <v>1120</v>
      </c>
      <c r="O138" s="5" t="s">
        <v>5</v>
      </c>
      <c r="P138" s="5"/>
      <c r="Q138" s="5"/>
      <c r="R138" s="11"/>
      <c r="S138" s="11"/>
      <c r="T138" s="13"/>
      <c r="U138" s="11" t="s">
        <v>412</v>
      </c>
    </row>
    <row r="139" spans="1:21" ht="72" customHeight="1">
      <c r="A139" s="7">
        <v>133</v>
      </c>
      <c r="B139" s="7" t="s">
        <v>1121</v>
      </c>
      <c r="C139" s="7" t="s">
        <v>407</v>
      </c>
      <c r="D139" s="7" t="s">
        <v>408</v>
      </c>
      <c r="E139" s="3" t="s">
        <v>345</v>
      </c>
      <c r="F139" s="3" t="s">
        <v>1122</v>
      </c>
      <c r="G139" s="9" t="s">
        <v>10</v>
      </c>
      <c r="H139" s="9" t="s">
        <v>1029</v>
      </c>
      <c r="I139" s="9" t="s">
        <v>199</v>
      </c>
      <c r="J139" s="9" t="s">
        <v>232</v>
      </c>
      <c r="K139" s="3" t="s">
        <v>233</v>
      </c>
      <c r="L139" s="3" t="s">
        <v>1123</v>
      </c>
      <c r="M139" s="3" t="s">
        <v>1124</v>
      </c>
      <c r="N139" s="3" t="s">
        <v>1120</v>
      </c>
      <c r="O139" s="5" t="s">
        <v>5</v>
      </c>
      <c r="P139" s="5"/>
      <c r="Q139" s="5"/>
      <c r="R139" s="11"/>
      <c r="S139" s="11"/>
      <c r="T139" s="13"/>
      <c r="U139" s="11" t="s">
        <v>412</v>
      </c>
    </row>
    <row r="140" spans="1:21" ht="72" customHeight="1">
      <c r="A140" s="7">
        <v>134</v>
      </c>
      <c r="B140" s="7" t="s">
        <v>1125</v>
      </c>
      <c r="C140" s="7" t="s">
        <v>407</v>
      </c>
      <c r="D140" s="7" t="s">
        <v>408</v>
      </c>
      <c r="E140" s="3" t="s">
        <v>345</v>
      </c>
      <c r="F140" s="3" t="s">
        <v>1126</v>
      </c>
      <c r="G140" s="9" t="s">
        <v>10</v>
      </c>
      <c r="H140" s="9" t="s">
        <v>1029</v>
      </c>
      <c r="I140" s="9" t="s">
        <v>199</v>
      </c>
      <c r="J140" s="9" t="s">
        <v>232</v>
      </c>
      <c r="K140" s="3" t="s">
        <v>233</v>
      </c>
      <c r="L140" s="3" t="s">
        <v>1127</v>
      </c>
      <c r="M140" s="3" t="s">
        <v>1128</v>
      </c>
      <c r="N140" s="3" t="s">
        <v>1120</v>
      </c>
      <c r="O140" s="5" t="s">
        <v>5</v>
      </c>
      <c r="P140" s="5"/>
      <c r="Q140" s="5"/>
      <c r="R140" s="11"/>
      <c r="S140" s="11"/>
      <c r="T140" s="13"/>
      <c r="U140" s="11" t="s">
        <v>412</v>
      </c>
    </row>
    <row r="141" spans="1:21" ht="72" customHeight="1">
      <c r="A141" s="7">
        <v>135</v>
      </c>
      <c r="B141" s="7" t="s">
        <v>1129</v>
      </c>
      <c r="C141" s="7" t="s">
        <v>439</v>
      </c>
      <c r="D141" s="7" t="s">
        <v>440</v>
      </c>
      <c r="E141" s="3" t="s">
        <v>423</v>
      </c>
      <c r="F141" s="3" t="s">
        <v>1130</v>
      </c>
      <c r="G141" s="9" t="s">
        <v>10</v>
      </c>
      <c r="H141" s="9" t="s">
        <v>286</v>
      </c>
      <c r="I141" s="9" t="s">
        <v>199</v>
      </c>
      <c r="J141" s="9" t="s">
        <v>425</v>
      </c>
      <c r="K141" s="3" t="s">
        <v>426</v>
      </c>
      <c r="L141" s="3" t="s">
        <v>1131</v>
      </c>
      <c r="M141" s="3" t="s">
        <v>1132</v>
      </c>
      <c r="N141" s="3" t="s">
        <v>1133</v>
      </c>
      <c r="O141" s="5" t="s">
        <v>5</v>
      </c>
      <c r="P141" s="5"/>
      <c r="Q141" s="5"/>
      <c r="R141" s="11"/>
      <c r="S141" s="11"/>
      <c r="T141" s="13"/>
      <c r="U141" s="11" t="s">
        <v>444</v>
      </c>
    </row>
    <row r="142" spans="1:21" ht="72" customHeight="1">
      <c r="A142" s="7">
        <v>136</v>
      </c>
      <c r="B142" s="7" t="s">
        <v>1134</v>
      </c>
      <c r="C142" s="7" t="s">
        <v>467</v>
      </c>
      <c r="D142" s="7" t="s">
        <v>468</v>
      </c>
      <c r="E142" s="3" t="s">
        <v>423</v>
      </c>
      <c r="F142" s="3" t="s">
        <v>1135</v>
      </c>
      <c r="G142" s="9" t="s">
        <v>10</v>
      </c>
      <c r="H142" s="9" t="s">
        <v>286</v>
      </c>
      <c r="I142" s="9" t="s">
        <v>199</v>
      </c>
      <c r="J142" s="9" t="s">
        <v>425</v>
      </c>
      <c r="K142" s="3" t="s">
        <v>426</v>
      </c>
      <c r="L142" s="3" t="s">
        <v>1136</v>
      </c>
      <c r="M142" s="3" t="s">
        <v>1137</v>
      </c>
      <c r="N142" s="3" t="s">
        <v>1138</v>
      </c>
      <c r="O142" s="5" t="s">
        <v>5</v>
      </c>
      <c r="P142" s="5"/>
      <c r="Q142" s="5"/>
      <c r="R142" s="11"/>
      <c r="S142" s="11"/>
      <c r="T142" s="13"/>
      <c r="U142" s="11" t="s">
        <v>472</v>
      </c>
    </row>
    <row r="143" spans="1:21" ht="72" customHeight="1">
      <c r="A143" s="7">
        <v>137</v>
      </c>
      <c r="B143" s="7" t="s">
        <v>1139</v>
      </c>
      <c r="C143" s="7" t="s">
        <v>474</v>
      </c>
      <c r="D143" s="7" t="s">
        <v>475</v>
      </c>
      <c r="E143" s="3" t="s">
        <v>423</v>
      </c>
      <c r="F143" s="3" t="s">
        <v>1140</v>
      </c>
      <c r="G143" s="9" t="s">
        <v>10</v>
      </c>
      <c r="H143" s="9" t="s">
        <v>1141</v>
      </c>
      <c r="I143" s="9" t="s">
        <v>199</v>
      </c>
      <c r="J143" s="9" t="s">
        <v>425</v>
      </c>
      <c r="K143" s="3" t="s">
        <v>426</v>
      </c>
      <c r="L143" s="3" t="s">
        <v>1142</v>
      </c>
      <c r="M143" s="3" t="s">
        <v>1143</v>
      </c>
      <c r="N143" s="3" t="s">
        <v>1144</v>
      </c>
      <c r="O143" s="5" t="s">
        <v>5</v>
      </c>
      <c r="P143" s="5"/>
      <c r="Q143" s="5"/>
      <c r="R143" s="11"/>
      <c r="S143" s="11"/>
      <c r="T143" s="13"/>
      <c r="U143" s="11" t="s">
        <v>479</v>
      </c>
    </row>
    <row r="144" spans="1:21" ht="72" customHeight="1">
      <c r="A144" s="7">
        <v>138</v>
      </c>
      <c r="B144" s="7" t="s">
        <v>1145</v>
      </c>
      <c r="C144" s="7" t="s">
        <v>519</v>
      </c>
      <c r="D144" s="7" t="s">
        <v>520</v>
      </c>
      <c r="E144" s="3" t="s">
        <v>511</v>
      </c>
      <c r="F144" s="3" t="s">
        <v>1146</v>
      </c>
      <c r="G144" s="9" t="s">
        <v>10</v>
      </c>
      <c r="H144" s="9" t="s">
        <v>1147</v>
      </c>
      <c r="I144" s="9" t="s">
        <v>199</v>
      </c>
      <c r="J144" s="9" t="s">
        <v>232</v>
      </c>
      <c r="K144" s="3" t="s">
        <v>513</v>
      </c>
      <c r="L144" s="3" t="s">
        <v>1148</v>
      </c>
      <c r="M144" s="3" t="s">
        <v>1149</v>
      </c>
      <c r="N144" s="3" t="s">
        <v>1150</v>
      </c>
      <c r="O144" s="5" t="s">
        <v>5</v>
      </c>
      <c r="P144" s="5"/>
      <c r="Q144" s="5"/>
      <c r="R144" s="11"/>
      <c r="S144" s="11"/>
      <c r="T144" s="13"/>
      <c r="U144" s="11" t="s">
        <v>524</v>
      </c>
    </row>
    <row r="145" spans="1:21" ht="72" customHeight="1">
      <c r="A145" s="7">
        <v>139</v>
      </c>
      <c r="B145" s="7" t="s">
        <v>1151</v>
      </c>
      <c r="C145" s="7" t="s">
        <v>526</v>
      </c>
      <c r="D145" s="7" t="s">
        <v>527</v>
      </c>
      <c r="E145" s="3" t="s">
        <v>511</v>
      </c>
      <c r="F145" s="3" t="s">
        <v>1152</v>
      </c>
      <c r="G145" s="9" t="s">
        <v>10</v>
      </c>
      <c r="H145" s="9" t="s">
        <v>1046</v>
      </c>
      <c r="I145" s="9" t="s">
        <v>199</v>
      </c>
      <c r="J145" s="9" t="s">
        <v>232</v>
      </c>
      <c r="K145" s="3" t="s">
        <v>513</v>
      </c>
      <c r="L145" s="3" t="s">
        <v>1153</v>
      </c>
      <c r="M145" s="3" t="s">
        <v>1154</v>
      </c>
      <c r="N145" s="3" t="s">
        <v>1155</v>
      </c>
      <c r="O145" s="5" t="s">
        <v>5</v>
      </c>
      <c r="P145" s="5"/>
      <c r="Q145" s="5"/>
      <c r="R145" s="11"/>
      <c r="S145" s="11"/>
      <c r="T145" s="13"/>
      <c r="U145" s="11" t="s">
        <v>531</v>
      </c>
    </row>
    <row r="146" spans="1:21" ht="72" customHeight="1">
      <c r="A146" s="7">
        <v>140</v>
      </c>
      <c r="B146" s="7" t="s">
        <v>1156</v>
      </c>
      <c r="C146" s="7" t="s">
        <v>533</v>
      </c>
      <c r="D146" s="7" t="s">
        <v>534</v>
      </c>
      <c r="E146" s="3" t="s">
        <v>511</v>
      </c>
      <c r="F146" s="3" t="s">
        <v>1157</v>
      </c>
      <c r="G146" s="9" t="s">
        <v>10</v>
      </c>
      <c r="H146" s="9" t="s">
        <v>1158</v>
      </c>
      <c r="I146" s="9" t="s">
        <v>199</v>
      </c>
      <c r="J146" s="9" t="s">
        <v>232</v>
      </c>
      <c r="K146" s="3" t="s">
        <v>513</v>
      </c>
      <c r="L146" s="3" t="s">
        <v>1159</v>
      </c>
      <c r="M146" s="3" t="s">
        <v>1160</v>
      </c>
      <c r="N146" s="3" t="s">
        <v>1161</v>
      </c>
      <c r="O146" s="5" t="s">
        <v>5</v>
      </c>
      <c r="P146" s="5"/>
      <c r="Q146" s="5"/>
      <c r="R146" s="11"/>
      <c r="S146" s="11"/>
      <c r="T146" s="13"/>
      <c r="U146" s="11" t="s">
        <v>538</v>
      </c>
    </row>
    <row r="147" spans="1:21" ht="72" customHeight="1">
      <c r="A147" s="7">
        <v>141</v>
      </c>
      <c r="B147" s="7" t="s">
        <v>1162</v>
      </c>
      <c r="C147" s="7" t="s">
        <v>540</v>
      </c>
      <c r="D147" s="7" t="s">
        <v>541</v>
      </c>
      <c r="E147" s="3" t="s">
        <v>511</v>
      </c>
      <c r="F147" s="3" t="s">
        <v>1163</v>
      </c>
      <c r="G147" s="9" t="s">
        <v>10</v>
      </c>
      <c r="H147" s="9" t="s">
        <v>1158</v>
      </c>
      <c r="I147" s="9" t="s">
        <v>199</v>
      </c>
      <c r="J147" s="9" t="s">
        <v>232</v>
      </c>
      <c r="K147" s="3" t="s">
        <v>513</v>
      </c>
      <c r="L147" s="3" t="s">
        <v>1164</v>
      </c>
      <c r="M147" s="3" t="s">
        <v>1160</v>
      </c>
      <c r="N147" s="3" t="s">
        <v>1161</v>
      </c>
      <c r="O147" s="5" t="s">
        <v>5</v>
      </c>
      <c r="P147" s="5"/>
      <c r="Q147" s="5"/>
      <c r="R147" s="11"/>
      <c r="S147" s="11"/>
      <c r="T147" s="13"/>
      <c r="U147" s="11" t="s">
        <v>545</v>
      </c>
    </row>
    <row r="148" spans="1:21" ht="72" customHeight="1">
      <c r="A148" s="7">
        <v>142</v>
      </c>
      <c r="B148" s="7" t="s">
        <v>1165</v>
      </c>
      <c r="C148" s="7" t="s">
        <v>547</v>
      </c>
      <c r="D148" s="7" t="s">
        <v>548</v>
      </c>
      <c r="E148" s="3" t="s">
        <v>511</v>
      </c>
      <c r="F148" s="3" t="s">
        <v>1166</v>
      </c>
      <c r="G148" s="9" t="s">
        <v>10</v>
      </c>
      <c r="H148" s="9" t="s">
        <v>1158</v>
      </c>
      <c r="I148" s="9" t="s">
        <v>199</v>
      </c>
      <c r="J148" s="9" t="s">
        <v>232</v>
      </c>
      <c r="K148" s="3" t="s">
        <v>513</v>
      </c>
      <c r="L148" s="3" t="s">
        <v>1167</v>
      </c>
      <c r="M148" s="3" t="s">
        <v>1160</v>
      </c>
      <c r="N148" s="3" t="s">
        <v>1161</v>
      </c>
      <c r="O148" s="5" t="s">
        <v>5</v>
      </c>
      <c r="P148" s="5"/>
      <c r="Q148" s="5"/>
      <c r="R148" s="11"/>
      <c r="S148" s="11"/>
      <c r="T148" s="13"/>
      <c r="U148" s="11" t="s">
        <v>552</v>
      </c>
    </row>
    <row r="149" spans="1:21" ht="72" customHeight="1">
      <c r="A149" s="7">
        <v>143</v>
      </c>
      <c r="B149" s="7" t="s">
        <v>1168</v>
      </c>
      <c r="C149" s="7" t="s">
        <v>575</v>
      </c>
      <c r="D149" s="7" t="s">
        <v>576</v>
      </c>
      <c r="E149" s="3" t="s">
        <v>511</v>
      </c>
      <c r="F149" s="3" t="s">
        <v>1169</v>
      </c>
      <c r="G149" s="9" t="s">
        <v>10</v>
      </c>
      <c r="H149" s="9" t="s">
        <v>1170</v>
      </c>
      <c r="I149" s="9" t="s">
        <v>199</v>
      </c>
      <c r="J149" s="9" t="s">
        <v>232</v>
      </c>
      <c r="K149" s="3" t="s">
        <v>513</v>
      </c>
      <c r="L149" s="3" t="s">
        <v>1171</v>
      </c>
      <c r="M149" s="3" t="s">
        <v>1172</v>
      </c>
      <c r="N149" s="3" t="s">
        <v>1173</v>
      </c>
      <c r="O149" s="5" t="s">
        <v>5</v>
      </c>
      <c r="P149" s="5"/>
      <c r="Q149" s="5"/>
      <c r="R149" s="11"/>
      <c r="S149" s="11"/>
      <c r="T149" s="13"/>
      <c r="U149" s="11" t="s">
        <v>580</v>
      </c>
    </row>
    <row r="150" spans="1:21" ht="72" customHeight="1">
      <c r="A150" s="7">
        <v>144</v>
      </c>
      <c r="B150" s="7" t="s">
        <v>1174</v>
      </c>
      <c r="C150" s="7" t="s">
        <v>604</v>
      </c>
      <c r="D150" s="7" t="s">
        <v>605</v>
      </c>
      <c r="E150" s="3" t="s">
        <v>597</v>
      </c>
      <c r="F150" s="3" t="s">
        <v>1175</v>
      </c>
      <c r="G150" s="9" t="s">
        <v>10</v>
      </c>
      <c r="H150" s="9" t="s">
        <v>1176</v>
      </c>
      <c r="I150" s="9" t="s">
        <v>199</v>
      </c>
      <c r="J150" s="9" t="s">
        <v>232</v>
      </c>
      <c r="K150" s="3" t="s">
        <v>513</v>
      </c>
      <c r="L150" s="3" t="s">
        <v>1177</v>
      </c>
      <c r="M150" s="3" t="s">
        <v>1178</v>
      </c>
      <c r="N150" s="3" t="s">
        <v>1179</v>
      </c>
      <c r="O150" s="5" t="s">
        <v>5</v>
      </c>
      <c r="P150" s="5"/>
      <c r="Q150" s="5"/>
      <c r="R150" s="11"/>
      <c r="S150" s="11"/>
      <c r="T150" s="13"/>
      <c r="U150" s="11" t="s">
        <v>609</v>
      </c>
    </row>
    <row r="151" spans="1:21" ht="72" customHeight="1">
      <c r="A151" s="7">
        <v>145</v>
      </c>
      <c r="B151" s="7" t="s">
        <v>1180</v>
      </c>
      <c r="C151" s="7" t="s">
        <v>618</v>
      </c>
      <c r="D151" s="7" t="s">
        <v>619</v>
      </c>
      <c r="E151" s="3" t="s">
        <v>597</v>
      </c>
      <c r="F151" s="3" t="s">
        <v>1181</v>
      </c>
      <c r="G151" s="9" t="s">
        <v>10</v>
      </c>
      <c r="H151" s="9" t="s">
        <v>1182</v>
      </c>
      <c r="I151" s="9" t="s">
        <v>199</v>
      </c>
      <c r="J151" s="9" t="s">
        <v>232</v>
      </c>
      <c r="K151" s="3" t="s">
        <v>513</v>
      </c>
      <c r="L151" s="3" t="s">
        <v>1183</v>
      </c>
      <c r="M151" s="3" t="s">
        <v>1184</v>
      </c>
      <c r="N151" s="3" t="s">
        <v>1185</v>
      </c>
      <c r="O151" s="5" t="s">
        <v>5</v>
      </c>
      <c r="P151" s="5"/>
      <c r="Q151" s="5"/>
      <c r="R151" s="11"/>
      <c r="S151" s="11"/>
      <c r="T151" s="13"/>
      <c r="U151" s="11" t="s">
        <v>623</v>
      </c>
    </row>
    <row r="152" spans="1:21" ht="72" customHeight="1">
      <c r="A152" s="7">
        <v>146</v>
      </c>
      <c r="B152" s="7" t="s">
        <v>1186</v>
      </c>
      <c r="C152" s="7" t="s">
        <v>618</v>
      </c>
      <c r="D152" s="7" t="s">
        <v>619</v>
      </c>
      <c r="E152" s="3" t="s">
        <v>597</v>
      </c>
      <c r="F152" s="3" t="s">
        <v>1187</v>
      </c>
      <c r="G152" s="9" t="s">
        <v>10</v>
      </c>
      <c r="H152" s="9" t="s">
        <v>1182</v>
      </c>
      <c r="I152" s="9" t="s">
        <v>199</v>
      </c>
      <c r="J152" s="9" t="s">
        <v>232</v>
      </c>
      <c r="K152" s="3" t="s">
        <v>513</v>
      </c>
      <c r="L152" s="3" t="s">
        <v>1188</v>
      </c>
      <c r="M152" s="3" t="s">
        <v>1189</v>
      </c>
      <c r="N152" s="3" t="s">
        <v>1185</v>
      </c>
      <c r="O152" s="5" t="s">
        <v>5</v>
      </c>
      <c r="P152" s="5"/>
      <c r="Q152" s="5"/>
      <c r="R152" s="11"/>
      <c r="S152" s="11"/>
      <c r="T152" s="13"/>
      <c r="U152" s="11" t="s">
        <v>623</v>
      </c>
    </row>
    <row r="153" spans="1:21" ht="72" customHeight="1">
      <c r="A153" s="7">
        <v>147</v>
      </c>
      <c r="B153" s="7" t="s">
        <v>1190</v>
      </c>
      <c r="C153" s="7" t="s">
        <v>625</v>
      </c>
      <c r="D153" s="7" t="s">
        <v>626</v>
      </c>
      <c r="E153" s="3" t="s">
        <v>597</v>
      </c>
      <c r="F153" s="3" t="s">
        <v>1191</v>
      </c>
      <c r="G153" s="9" t="s">
        <v>10</v>
      </c>
      <c r="H153" s="9" t="s">
        <v>1192</v>
      </c>
      <c r="I153" s="9" t="s">
        <v>199</v>
      </c>
      <c r="J153" s="9" t="s">
        <v>232</v>
      </c>
      <c r="K153" s="3" t="s">
        <v>513</v>
      </c>
      <c r="L153" s="3" t="s">
        <v>1193</v>
      </c>
      <c r="M153" s="3" t="s">
        <v>1194</v>
      </c>
      <c r="N153" s="3" t="s">
        <v>1195</v>
      </c>
      <c r="O153" s="5" t="s">
        <v>5</v>
      </c>
      <c r="P153" s="5"/>
      <c r="Q153" s="5"/>
      <c r="R153" s="11"/>
      <c r="S153" s="11"/>
      <c r="T153" s="13"/>
      <c r="U153" s="11" t="s">
        <v>630</v>
      </c>
    </row>
    <row r="154" spans="1:21" ht="72" customHeight="1">
      <c r="A154" s="7">
        <v>148</v>
      </c>
      <c r="B154" s="7" t="s">
        <v>1196</v>
      </c>
      <c r="C154" s="7" t="s">
        <v>639</v>
      </c>
      <c r="D154" s="7" t="s">
        <v>640</v>
      </c>
      <c r="E154" s="3" t="s">
        <v>597</v>
      </c>
      <c r="F154" s="3" t="s">
        <v>1197</v>
      </c>
      <c r="G154" s="9" t="s">
        <v>11</v>
      </c>
      <c r="H154" s="9" t="s">
        <v>1198</v>
      </c>
      <c r="I154" s="9" t="s">
        <v>199</v>
      </c>
      <c r="J154" s="9" t="s">
        <v>232</v>
      </c>
      <c r="K154" s="3" t="s">
        <v>513</v>
      </c>
      <c r="L154" s="3" t="s">
        <v>1199</v>
      </c>
      <c r="M154" s="3" t="s">
        <v>1200</v>
      </c>
      <c r="N154" s="3" t="s">
        <v>1201</v>
      </c>
      <c r="O154" s="5" t="s">
        <v>5</v>
      </c>
      <c r="P154" s="5"/>
      <c r="Q154" s="5"/>
      <c r="R154" s="11"/>
      <c r="S154" s="11"/>
      <c r="T154" s="13"/>
      <c r="U154" s="11" t="s">
        <v>644</v>
      </c>
    </row>
    <row r="155" spans="1:21" ht="72" customHeight="1">
      <c r="A155" s="7">
        <v>149</v>
      </c>
      <c r="B155" s="7" t="s">
        <v>1202</v>
      </c>
      <c r="C155" s="7" t="s">
        <v>653</v>
      </c>
      <c r="D155" s="7" t="s">
        <v>654</v>
      </c>
      <c r="E155" s="3" t="s">
        <v>655</v>
      </c>
      <c r="F155" s="3" t="s">
        <v>1203</v>
      </c>
      <c r="G155" s="9" t="s">
        <v>10</v>
      </c>
      <c r="H155" s="9" t="s">
        <v>1204</v>
      </c>
      <c r="I155" s="9" t="s">
        <v>199</v>
      </c>
      <c r="J155" s="9" t="s">
        <v>232</v>
      </c>
      <c r="K155" s="3" t="s">
        <v>513</v>
      </c>
      <c r="L155" s="3" t="s">
        <v>1205</v>
      </c>
      <c r="M155" s="3" t="s">
        <v>1206</v>
      </c>
      <c r="N155" s="3" t="s">
        <v>1207</v>
      </c>
      <c r="O155" s="5" t="s">
        <v>5</v>
      </c>
      <c r="P155" s="5"/>
      <c r="Q155" s="5"/>
      <c r="R155" s="11"/>
      <c r="S155" s="11"/>
      <c r="T155" s="13"/>
      <c r="U155" s="11" t="s">
        <v>660</v>
      </c>
    </row>
    <row r="156" spans="1:21" ht="72" customHeight="1">
      <c r="A156" s="7">
        <v>150</v>
      </c>
      <c r="B156" s="7" t="s">
        <v>1208</v>
      </c>
      <c r="C156" s="7" t="s">
        <v>697</v>
      </c>
      <c r="D156" s="7" t="s">
        <v>698</v>
      </c>
      <c r="E156" s="3" t="s">
        <v>655</v>
      </c>
      <c r="F156" s="3" t="s">
        <v>1209</v>
      </c>
      <c r="G156" s="9" t="s">
        <v>10</v>
      </c>
      <c r="H156" s="9" t="s">
        <v>1210</v>
      </c>
      <c r="I156" s="9" t="s">
        <v>199</v>
      </c>
      <c r="J156" s="9" t="s">
        <v>232</v>
      </c>
      <c r="K156" s="3" t="s">
        <v>513</v>
      </c>
      <c r="L156" s="3" t="s">
        <v>1211</v>
      </c>
      <c r="M156" s="3" t="s">
        <v>1212</v>
      </c>
      <c r="N156" s="3" t="s">
        <v>1213</v>
      </c>
      <c r="O156" s="5" t="s">
        <v>5</v>
      </c>
      <c r="P156" s="5"/>
      <c r="Q156" s="5"/>
      <c r="R156" s="11"/>
      <c r="S156" s="11"/>
      <c r="T156" s="13"/>
      <c r="U156" s="11" t="s">
        <v>702</v>
      </c>
    </row>
    <row r="157" spans="1:21" ht="72" customHeight="1">
      <c r="A157" s="7">
        <v>151</v>
      </c>
      <c r="B157" s="7" t="s">
        <v>1214</v>
      </c>
      <c r="C157" s="7" t="s">
        <v>704</v>
      </c>
      <c r="D157" s="7" t="s">
        <v>705</v>
      </c>
      <c r="E157" s="3" t="s">
        <v>655</v>
      </c>
      <c r="F157" s="3" t="s">
        <v>1215</v>
      </c>
      <c r="G157" s="9" t="s">
        <v>10</v>
      </c>
      <c r="H157" s="9" t="s">
        <v>1216</v>
      </c>
      <c r="I157" s="9" t="s">
        <v>199</v>
      </c>
      <c r="J157" s="9" t="s">
        <v>232</v>
      </c>
      <c r="K157" s="3" t="s">
        <v>513</v>
      </c>
      <c r="L157" s="3" t="s">
        <v>1217</v>
      </c>
      <c r="M157" s="3" t="s">
        <v>1218</v>
      </c>
      <c r="N157" s="3" t="s">
        <v>1219</v>
      </c>
      <c r="O157" s="5" t="s">
        <v>5</v>
      </c>
      <c r="P157" s="5"/>
      <c r="Q157" s="5"/>
      <c r="R157" s="11"/>
      <c r="S157" s="11"/>
      <c r="T157" s="13"/>
      <c r="U157" s="11" t="s">
        <v>709</v>
      </c>
    </row>
    <row r="158" spans="1:21" ht="72" customHeight="1">
      <c r="A158" s="7">
        <v>152</v>
      </c>
      <c r="B158" s="7" t="s">
        <v>1220</v>
      </c>
      <c r="C158" s="7" t="s">
        <v>718</v>
      </c>
      <c r="D158" s="7" t="s">
        <v>719</v>
      </c>
      <c r="E158" s="3" t="s">
        <v>655</v>
      </c>
      <c r="F158" s="3" t="s">
        <v>1221</v>
      </c>
      <c r="G158" s="9" t="s">
        <v>10</v>
      </c>
      <c r="H158" s="9" t="s">
        <v>1222</v>
      </c>
      <c r="I158" s="9" t="s">
        <v>199</v>
      </c>
      <c r="J158" s="9" t="s">
        <v>232</v>
      </c>
      <c r="K158" s="3" t="s">
        <v>513</v>
      </c>
      <c r="L158" s="3" t="s">
        <v>1223</v>
      </c>
      <c r="M158" s="3" t="s">
        <v>1224</v>
      </c>
      <c r="N158" s="3" t="s">
        <v>1225</v>
      </c>
      <c r="O158" s="5" t="s">
        <v>5</v>
      </c>
      <c r="P158" s="5"/>
      <c r="Q158" s="5"/>
      <c r="R158" s="11"/>
      <c r="S158" s="11"/>
      <c r="T158" s="13"/>
      <c r="U158" s="11" t="s">
        <v>723</v>
      </c>
    </row>
    <row r="159" spans="1:21" ht="72" customHeight="1">
      <c r="A159" s="7">
        <v>153</v>
      </c>
      <c r="B159" s="7" t="s">
        <v>1226</v>
      </c>
      <c r="C159" s="7" t="s">
        <v>742</v>
      </c>
      <c r="D159" s="7" t="s">
        <v>240</v>
      </c>
      <c r="E159" s="3" t="s">
        <v>733</v>
      </c>
      <c r="F159" s="3" t="s">
        <v>1227</v>
      </c>
      <c r="G159" s="9" t="s">
        <v>10</v>
      </c>
      <c r="H159" s="9" t="s">
        <v>744</v>
      </c>
      <c r="I159" s="9" t="s">
        <v>199</v>
      </c>
      <c r="J159" s="9" t="s">
        <v>232</v>
      </c>
      <c r="K159" s="3" t="s">
        <v>736</v>
      </c>
      <c r="L159" s="3" t="s">
        <v>1228</v>
      </c>
      <c r="M159" s="3" t="s">
        <v>1229</v>
      </c>
      <c r="N159" s="3" t="s">
        <v>1230</v>
      </c>
      <c r="O159" s="5" t="s">
        <v>5</v>
      </c>
      <c r="P159" s="5"/>
      <c r="Q159" s="5"/>
      <c r="R159" s="11"/>
      <c r="S159" s="11"/>
      <c r="T159" s="13"/>
      <c r="U159" s="11" t="s">
        <v>747</v>
      </c>
    </row>
    <row r="160" spans="1:21" ht="72" customHeight="1">
      <c r="A160" s="7">
        <v>154</v>
      </c>
      <c r="B160" s="7" t="s">
        <v>1231</v>
      </c>
      <c r="C160" s="7" t="s">
        <v>755</v>
      </c>
      <c r="D160" s="7" t="s">
        <v>255</v>
      </c>
      <c r="E160" s="3" t="s">
        <v>733</v>
      </c>
      <c r="F160" s="3" t="s">
        <v>1232</v>
      </c>
      <c r="G160" s="9" t="s">
        <v>10</v>
      </c>
      <c r="H160" s="9" t="s">
        <v>1046</v>
      </c>
      <c r="I160" s="9" t="s">
        <v>199</v>
      </c>
      <c r="J160" s="9" t="s">
        <v>232</v>
      </c>
      <c r="K160" s="3" t="s">
        <v>736</v>
      </c>
      <c r="L160" s="3" t="s">
        <v>1233</v>
      </c>
      <c r="M160" s="3" t="s">
        <v>1234</v>
      </c>
      <c r="N160" s="3" t="s">
        <v>1235</v>
      </c>
      <c r="O160" s="5" t="s">
        <v>5</v>
      </c>
      <c r="P160" s="5"/>
      <c r="Q160" s="5"/>
      <c r="R160" s="11"/>
      <c r="S160" s="11"/>
      <c r="T160" s="13"/>
      <c r="U160" s="11" t="s">
        <v>759</v>
      </c>
    </row>
    <row r="161" spans="1:21" ht="72" customHeight="1">
      <c r="A161" s="7">
        <v>155</v>
      </c>
      <c r="B161" s="7" t="s">
        <v>1236</v>
      </c>
      <c r="C161" s="7" t="s">
        <v>779</v>
      </c>
      <c r="D161" s="7" t="s">
        <v>284</v>
      </c>
      <c r="E161" s="3" t="s">
        <v>733</v>
      </c>
      <c r="F161" s="3" t="s">
        <v>1237</v>
      </c>
      <c r="G161" s="9" t="s">
        <v>10</v>
      </c>
      <c r="H161" s="9" t="s">
        <v>1238</v>
      </c>
      <c r="I161" s="9" t="s">
        <v>199</v>
      </c>
      <c r="J161" s="9" t="s">
        <v>232</v>
      </c>
      <c r="K161" s="3" t="s">
        <v>736</v>
      </c>
      <c r="L161" s="3" t="s">
        <v>1239</v>
      </c>
      <c r="M161" s="3" t="s">
        <v>1240</v>
      </c>
      <c r="N161" s="3" t="s">
        <v>1241</v>
      </c>
      <c r="O161" s="5" t="s">
        <v>5</v>
      </c>
      <c r="P161" s="5"/>
      <c r="Q161" s="5"/>
      <c r="R161" s="11"/>
      <c r="S161" s="11"/>
      <c r="T161" s="13"/>
      <c r="U161" s="11" t="s">
        <v>783</v>
      </c>
    </row>
    <row r="162" spans="1:21" ht="72" customHeight="1">
      <c r="A162" s="7">
        <v>156</v>
      </c>
      <c r="B162" s="7" t="s">
        <v>1242</v>
      </c>
      <c r="C162" s="7" t="s">
        <v>803</v>
      </c>
      <c r="D162" s="7" t="s">
        <v>804</v>
      </c>
      <c r="E162" s="3" t="s">
        <v>787</v>
      </c>
      <c r="F162" s="3" t="s">
        <v>1243</v>
      </c>
      <c r="G162" s="9" t="s">
        <v>11</v>
      </c>
      <c r="H162" s="9" t="s">
        <v>1244</v>
      </c>
      <c r="I162" s="9" t="s">
        <v>199</v>
      </c>
      <c r="J162" s="9" t="s">
        <v>278</v>
      </c>
      <c r="K162" s="3" t="s">
        <v>790</v>
      </c>
      <c r="L162" s="3" t="s">
        <v>1245</v>
      </c>
      <c r="M162" s="3" t="s">
        <v>1246</v>
      </c>
      <c r="N162" s="3" t="s">
        <v>1247</v>
      </c>
      <c r="O162" s="5" t="s">
        <v>5</v>
      </c>
      <c r="P162" s="5"/>
      <c r="Q162" s="5"/>
      <c r="R162" s="11"/>
      <c r="S162" s="11"/>
      <c r="T162" s="13"/>
      <c r="U162" s="11" t="s">
        <v>808</v>
      </c>
    </row>
    <row r="163" spans="1:21" ht="72" customHeight="1">
      <c r="A163" s="7">
        <v>157</v>
      </c>
      <c r="B163" s="7" t="s">
        <v>1248</v>
      </c>
      <c r="C163" s="7" t="s">
        <v>803</v>
      </c>
      <c r="D163" s="7" t="s">
        <v>804</v>
      </c>
      <c r="E163" s="3" t="s">
        <v>787</v>
      </c>
      <c r="F163" s="3" t="s">
        <v>1249</v>
      </c>
      <c r="G163" s="9" t="s">
        <v>11</v>
      </c>
      <c r="H163" s="9" t="s">
        <v>1244</v>
      </c>
      <c r="I163" s="9" t="s">
        <v>199</v>
      </c>
      <c r="J163" s="9" t="s">
        <v>278</v>
      </c>
      <c r="K163" s="3" t="s">
        <v>790</v>
      </c>
      <c r="L163" s="3" t="s">
        <v>1250</v>
      </c>
      <c r="M163" s="3" t="s">
        <v>1251</v>
      </c>
      <c r="N163" s="3" t="s">
        <v>1247</v>
      </c>
      <c r="O163" s="5" t="s">
        <v>5</v>
      </c>
      <c r="P163" s="5"/>
      <c r="Q163" s="5"/>
      <c r="R163" s="11"/>
      <c r="S163" s="11"/>
      <c r="T163" s="13"/>
      <c r="U163" s="11" t="s">
        <v>808</v>
      </c>
    </row>
    <row r="164" spans="1:21" ht="72" customHeight="1">
      <c r="A164" s="7">
        <v>158</v>
      </c>
      <c r="B164" s="7" t="s">
        <v>1252</v>
      </c>
      <c r="C164" s="7" t="s">
        <v>803</v>
      </c>
      <c r="D164" s="7" t="s">
        <v>804</v>
      </c>
      <c r="E164" s="3" t="s">
        <v>787</v>
      </c>
      <c r="F164" s="3" t="s">
        <v>1253</v>
      </c>
      <c r="G164" s="9" t="s">
        <v>11</v>
      </c>
      <c r="H164" s="9" t="s">
        <v>1244</v>
      </c>
      <c r="I164" s="9" t="s">
        <v>199</v>
      </c>
      <c r="J164" s="9" t="s">
        <v>278</v>
      </c>
      <c r="K164" s="3" t="s">
        <v>790</v>
      </c>
      <c r="L164" s="3" t="s">
        <v>1254</v>
      </c>
      <c r="M164" s="3" t="s">
        <v>1255</v>
      </c>
      <c r="N164" s="3" t="s">
        <v>1247</v>
      </c>
      <c r="O164" s="5" t="s">
        <v>5</v>
      </c>
      <c r="P164" s="5"/>
      <c r="Q164" s="5"/>
      <c r="R164" s="11"/>
      <c r="S164" s="11"/>
      <c r="T164" s="13"/>
      <c r="U164" s="11" t="s">
        <v>808</v>
      </c>
    </row>
    <row r="165" spans="1:21" ht="72" customHeight="1">
      <c r="A165" s="7">
        <v>159</v>
      </c>
      <c r="B165" s="7" t="s">
        <v>1256</v>
      </c>
      <c r="C165" s="7" t="s">
        <v>824</v>
      </c>
      <c r="D165" s="7" t="s">
        <v>825</v>
      </c>
      <c r="E165" s="3" t="s">
        <v>787</v>
      </c>
      <c r="F165" s="3" t="s">
        <v>1257</v>
      </c>
      <c r="G165" s="9" t="s">
        <v>11</v>
      </c>
      <c r="H165" s="9" t="s">
        <v>1258</v>
      </c>
      <c r="I165" s="9" t="s">
        <v>199</v>
      </c>
      <c r="J165" s="9" t="s">
        <v>278</v>
      </c>
      <c r="K165" s="3" t="s">
        <v>790</v>
      </c>
      <c r="L165" s="3" t="s">
        <v>1259</v>
      </c>
      <c r="M165" s="3" t="s">
        <v>1260</v>
      </c>
      <c r="N165" s="3" t="s">
        <v>1261</v>
      </c>
      <c r="O165" s="5" t="s">
        <v>5</v>
      </c>
      <c r="P165" s="5"/>
      <c r="Q165" s="5"/>
      <c r="R165" s="11"/>
      <c r="S165" s="11"/>
      <c r="T165" s="13"/>
      <c r="U165" s="11" t="s">
        <v>829</v>
      </c>
    </row>
    <row r="166" spans="1:21" ht="72" customHeight="1">
      <c r="A166" s="7">
        <v>160</v>
      </c>
      <c r="B166" s="7" t="s">
        <v>1262</v>
      </c>
      <c r="C166" s="7" t="s">
        <v>824</v>
      </c>
      <c r="D166" s="7" t="s">
        <v>825</v>
      </c>
      <c r="E166" s="3" t="s">
        <v>787</v>
      </c>
      <c r="F166" s="3" t="s">
        <v>1263</v>
      </c>
      <c r="G166" s="9" t="s">
        <v>11</v>
      </c>
      <c r="H166" s="9" t="s">
        <v>1258</v>
      </c>
      <c r="I166" s="9" t="s">
        <v>199</v>
      </c>
      <c r="J166" s="9" t="s">
        <v>278</v>
      </c>
      <c r="K166" s="3" t="s">
        <v>790</v>
      </c>
      <c r="L166" s="3" t="s">
        <v>1264</v>
      </c>
      <c r="M166" s="3" t="s">
        <v>1260</v>
      </c>
      <c r="N166" s="3" t="s">
        <v>1261</v>
      </c>
      <c r="O166" s="5" t="s">
        <v>5</v>
      </c>
      <c r="P166" s="5"/>
      <c r="Q166" s="5"/>
      <c r="R166" s="11"/>
      <c r="S166" s="11"/>
      <c r="T166" s="13"/>
      <c r="U166" s="11" t="s">
        <v>829</v>
      </c>
    </row>
    <row r="167" spans="1:21" ht="72" customHeight="1">
      <c r="A167" s="7">
        <v>161</v>
      </c>
      <c r="B167" s="7" t="s">
        <v>1265</v>
      </c>
      <c r="C167" s="7" t="s">
        <v>824</v>
      </c>
      <c r="D167" s="7" t="s">
        <v>825</v>
      </c>
      <c r="E167" s="3" t="s">
        <v>787</v>
      </c>
      <c r="F167" s="3" t="s">
        <v>1266</v>
      </c>
      <c r="G167" s="9" t="s">
        <v>11</v>
      </c>
      <c r="H167" s="9" t="s">
        <v>1258</v>
      </c>
      <c r="I167" s="9" t="s">
        <v>199</v>
      </c>
      <c r="J167" s="9" t="s">
        <v>278</v>
      </c>
      <c r="K167" s="3" t="s">
        <v>790</v>
      </c>
      <c r="L167" s="3" t="s">
        <v>1267</v>
      </c>
      <c r="M167" s="3" t="s">
        <v>1260</v>
      </c>
      <c r="N167" s="3" t="s">
        <v>1261</v>
      </c>
      <c r="O167" s="5" t="s">
        <v>5</v>
      </c>
      <c r="P167" s="5"/>
      <c r="Q167" s="5"/>
      <c r="R167" s="11"/>
      <c r="S167" s="11"/>
      <c r="T167" s="13"/>
      <c r="U167" s="11" t="s">
        <v>829</v>
      </c>
    </row>
    <row r="168" spans="1:21" ht="72" customHeight="1">
      <c r="A168" s="7">
        <v>162</v>
      </c>
      <c r="B168" s="7" t="s">
        <v>1268</v>
      </c>
      <c r="C168" s="7" t="s">
        <v>838</v>
      </c>
      <c r="D168" s="7" t="s">
        <v>839</v>
      </c>
      <c r="E168" s="3" t="s">
        <v>787</v>
      </c>
      <c r="F168" s="3" t="s">
        <v>1269</v>
      </c>
      <c r="G168" s="9" t="s">
        <v>10</v>
      </c>
      <c r="H168" s="9" t="s">
        <v>1270</v>
      </c>
      <c r="I168" s="9" t="s">
        <v>199</v>
      </c>
      <c r="J168" s="9" t="s">
        <v>278</v>
      </c>
      <c r="K168" s="3" t="s">
        <v>790</v>
      </c>
      <c r="L168" s="3" t="s">
        <v>1271</v>
      </c>
      <c r="M168" s="3" t="s">
        <v>1272</v>
      </c>
      <c r="N168" s="3" t="s">
        <v>1273</v>
      </c>
      <c r="O168" s="5" t="s">
        <v>5</v>
      </c>
      <c r="P168" s="5"/>
      <c r="Q168" s="5"/>
      <c r="R168" s="11"/>
      <c r="S168" s="11"/>
      <c r="T168" s="13"/>
      <c r="U168" s="11" t="s">
        <v>843</v>
      </c>
    </row>
    <row r="169" spans="1:21" ht="72" customHeight="1">
      <c r="A169" s="7">
        <v>163</v>
      </c>
      <c r="B169" s="7" t="s">
        <v>1274</v>
      </c>
      <c r="C169" s="7" t="s">
        <v>845</v>
      </c>
      <c r="D169" s="7" t="s">
        <v>846</v>
      </c>
      <c r="E169" s="3" t="s">
        <v>787</v>
      </c>
      <c r="F169" s="3" t="s">
        <v>1275</v>
      </c>
      <c r="G169" s="9" t="s">
        <v>11</v>
      </c>
      <c r="H169" s="9" t="s">
        <v>1276</v>
      </c>
      <c r="I169" s="9" t="s">
        <v>199</v>
      </c>
      <c r="J169" s="9" t="s">
        <v>278</v>
      </c>
      <c r="K169" s="3" t="s">
        <v>790</v>
      </c>
      <c r="L169" s="3" t="s">
        <v>1277</v>
      </c>
      <c r="M169" s="3" t="s">
        <v>1278</v>
      </c>
      <c r="N169" s="3" t="s">
        <v>1279</v>
      </c>
      <c r="O169" s="5" t="s">
        <v>5</v>
      </c>
      <c r="P169" s="5"/>
      <c r="Q169" s="5"/>
      <c r="R169" s="11"/>
      <c r="S169" s="11"/>
      <c r="T169" s="13"/>
      <c r="U169" s="11" t="s">
        <v>850</v>
      </c>
    </row>
    <row r="170" spans="1:21" ht="72" customHeight="1">
      <c r="A170" s="7">
        <v>164</v>
      </c>
      <c r="B170" s="7" t="s">
        <v>1280</v>
      </c>
      <c r="C170" s="7" t="s">
        <v>852</v>
      </c>
      <c r="D170" s="7" t="s">
        <v>853</v>
      </c>
      <c r="E170" s="3" t="s">
        <v>854</v>
      </c>
      <c r="F170" s="3" t="s">
        <v>1281</v>
      </c>
      <c r="G170" s="9" t="s">
        <v>10</v>
      </c>
      <c r="H170" s="9" t="s">
        <v>854</v>
      </c>
      <c r="I170" s="9" t="s">
        <v>199</v>
      </c>
      <c r="J170" s="9" t="s">
        <v>232</v>
      </c>
      <c r="K170" s="3" t="s">
        <v>856</v>
      </c>
      <c r="L170" s="3" t="s">
        <v>1282</v>
      </c>
      <c r="M170" s="3" t="s">
        <v>1283</v>
      </c>
      <c r="N170" s="3" t="s">
        <v>1284</v>
      </c>
      <c r="O170" s="5" t="s">
        <v>5</v>
      </c>
      <c r="P170" s="5"/>
      <c r="Q170" s="5"/>
      <c r="R170" s="11"/>
      <c r="S170" s="11"/>
      <c r="T170" s="13"/>
      <c r="U170" s="11" t="s">
        <v>860</v>
      </c>
    </row>
    <row r="171" spans="1:21" ht="72" customHeight="1">
      <c r="A171" s="7">
        <v>165</v>
      </c>
      <c r="B171" s="7" t="s">
        <v>1285</v>
      </c>
      <c r="C171" s="7" t="s">
        <v>876</v>
      </c>
      <c r="D171" s="7" t="s">
        <v>877</v>
      </c>
      <c r="E171" s="3" t="s">
        <v>854</v>
      </c>
      <c r="F171" s="3" t="s">
        <v>1286</v>
      </c>
      <c r="G171" s="9" t="s">
        <v>10</v>
      </c>
      <c r="H171" s="9" t="s">
        <v>1287</v>
      </c>
      <c r="I171" s="9" t="s">
        <v>199</v>
      </c>
      <c r="J171" s="9" t="s">
        <v>232</v>
      </c>
      <c r="K171" s="3" t="s">
        <v>856</v>
      </c>
      <c r="L171" s="3" t="s">
        <v>1288</v>
      </c>
      <c r="M171" s="3" t="s">
        <v>1289</v>
      </c>
      <c r="N171" s="3" t="s">
        <v>1290</v>
      </c>
      <c r="O171" s="5" t="s">
        <v>5</v>
      </c>
      <c r="P171" s="5"/>
      <c r="Q171" s="5"/>
      <c r="R171" s="11"/>
      <c r="S171" s="11"/>
      <c r="T171" s="13"/>
      <c r="U171" s="11" t="s">
        <v>881</v>
      </c>
    </row>
    <row r="172" spans="1:21" ht="72" customHeight="1">
      <c r="A172" s="7">
        <v>166</v>
      </c>
      <c r="B172" s="7" t="s">
        <v>1291</v>
      </c>
      <c r="C172" s="7" t="s">
        <v>897</v>
      </c>
      <c r="D172" s="7" t="s">
        <v>898</v>
      </c>
      <c r="E172" s="3" t="s">
        <v>854</v>
      </c>
      <c r="F172" s="3" t="s">
        <v>1292</v>
      </c>
      <c r="G172" s="9" t="s">
        <v>10</v>
      </c>
      <c r="H172" s="9" t="s">
        <v>1293</v>
      </c>
      <c r="I172" s="9" t="s">
        <v>199</v>
      </c>
      <c r="J172" s="9" t="s">
        <v>1294</v>
      </c>
      <c r="K172" s="3" t="s">
        <v>856</v>
      </c>
      <c r="L172" s="3" t="s">
        <v>1295</v>
      </c>
      <c r="M172" s="3" t="s">
        <v>1296</v>
      </c>
      <c r="N172" s="3" t="s">
        <v>1297</v>
      </c>
      <c r="O172" s="5" t="s">
        <v>5</v>
      </c>
      <c r="P172" s="5"/>
      <c r="Q172" s="5"/>
      <c r="R172" s="11"/>
      <c r="S172" s="11"/>
      <c r="T172" s="13"/>
      <c r="U172" s="11" t="s">
        <v>902</v>
      </c>
    </row>
    <row r="173" spans="1:21" ht="72" customHeight="1">
      <c r="A173" s="7">
        <v>167</v>
      </c>
      <c r="B173" s="7" t="s">
        <v>1298</v>
      </c>
      <c r="C173" s="7" t="s">
        <v>954</v>
      </c>
      <c r="D173" s="7" t="s">
        <v>955</v>
      </c>
      <c r="E173" s="3" t="s">
        <v>956</v>
      </c>
      <c r="F173" s="3" t="s">
        <v>1299</v>
      </c>
      <c r="G173" s="9" t="s">
        <v>10</v>
      </c>
      <c r="H173" s="9" t="s">
        <v>1300</v>
      </c>
      <c r="I173" s="9" t="s">
        <v>199</v>
      </c>
      <c r="J173" s="9" t="s">
        <v>1301</v>
      </c>
      <c r="K173" s="3" t="s">
        <v>201</v>
      </c>
      <c r="L173" s="3" t="s">
        <v>1302</v>
      </c>
      <c r="M173" s="3" t="s">
        <v>1303</v>
      </c>
      <c r="N173" s="3" t="s">
        <v>1304</v>
      </c>
      <c r="O173" s="5" t="s">
        <v>5</v>
      </c>
      <c r="P173" s="5"/>
      <c r="Q173" s="5"/>
      <c r="R173" s="11"/>
      <c r="S173" s="11"/>
      <c r="T173" s="13"/>
      <c r="U173" s="11" t="s">
        <v>960</v>
      </c>
    </row>
    <row r="174" spans="1:21" ht="72" customHeight="1">
      <c r="A174" s="7">
        <v>168</v>
      </c>
      <c r="B174" s="7" t="s">
        <v>1305</v>
      </c>
      <c r="C174" s="7" t="s">
        <v>954</v>
      </c>
      <c r="D174" s="7" t="s">
        <v>955</v>
      </c>
      <c r="E174" s="3" t="s">
        <v>956</v>
      </c>
      <c r="F174" s="3" t="s">
        <v>1306</v>
      </c>
      <c r="G174" s="9" t="s">
        <v>10</v>
      </c>
      <c r="H174" s="9" t="s">
        <v>1300</v>
      </c>
      <c r="I174" s="9" t="s">
        <v>199</v>
      </c>
      <c r="J174" s="9" t="s">
        <v>1301</v>
      </c>
      <c r="K174" s="3" t="s">
        <v>201</v>
      </c>
      <c r="L174" s="3" t="s">
        <v>1307</v>
      </c>
      <c r="M174" s="3" t="s">
        <v>1308</v>
      </c>
      <c r="N174" s="3" t="s">
        <v>1309</v>
      </c>
      <c r="O174" s="5" t="s">
        <v>5</v>
      </c>
      <c r="P174" s="5"/>
      <c r="Q174" s="5"/>
      <c r="R174" s="11"/>
      <c r="S174" s="11"/>
      <c r="T174" s="13"/>
      <c r="U174" s="11" t="s">
        <v>960</v>
      </c>
    </row>
    <row r="175" spans="1:21" ht="72" customHeight="1">
      <c r="A175" s="7">
        <v>169</v>
      </c>
      <c r="B175" s="7" t="s">
        <v>1310</v>
      </c>
      <c r="C175" s="7" t="s">
        <v>969</v>
      </c>
      <c r="D175" s="7" t="s">
        <v>970</v>
      </c>
      <c r="E175" s="3" t="s">
        <v>956</v>
      </c>
      <c r="F175" s="3" t="s">
        <v>1311</v>
      </c>
      <c r="G175" s="9" t="s">
        <v>10</v>
      </c>
      <c r="H175" s="9" t="s">
        <v>1312</v>
      </c>
      <c r="I175" s="9" t="s">
        <v>199</v>
      </c>
      <c r="J175" s="9" t="s">
        <v>1301</v>
      </c>
      <c r="K175" s="3" t="s">
        <v>201</v>
      </c>
      <c r="L175" s="3" t="s">
        <v>1313</v>
      </c>
      <c r="M175" s="3" t="s">
        <v>1314</v>
      </c>
      <c r="N175" s="3" t="s">
        <v>1315</v>
      </c>
      <c r="O175" s="5" t="s">
        <v>5</v>
      </c>
      <c r="P175" s="5"/>
      <c r="Q175" s="5"/>
      <c r="R175" s="11"/>
      <c r="S175" s="11"/>
      <c r="T175" s="13"/>
      <c r="U175" s="11" t="s">
        <v>974</v>
      </c>
    </row>
  </sheetData>
  <mergeCells count="3">
    <mergeCell ref="A1:U1"/>
    <mergeCell ref="A2:U2"/>
    <mergeCell ref="A4:U4"/>
  </mergeCells>
  <conditionalFormatting sqref="O7:O175">
    <cfRule type="expression" dxfId="10" priority="1">
      <formula>$O7="Đạt"</formula>
    </cfRule>
    <cfRule type="expression" dxfId="9" priority="2">
      <formula>$O7="Đạt có điều kiện"</formula>
    </cfRule>
    <cfRule type="expression" dxfId="8" priority="3">
      <formula>$O7="Không đạt"</formula>
    </cfRule>
    <cfRule type="expression" dxfId="7" priority="4">
      <formula>$O7="Chưa test"</formula>
    </cfRule>
    <cfRule type="expression" dxfId="6" priority="5">
      <formula>$O7="Không áp dụng (Tương lai)"</formula>
    </cfRule>
  </conditionalFormatting>
  <conditionalFormatting sqref="G7:G175">
    <cfRule type="expression" dxfId="5" priority="6">
      <formula>$G7="P0"</formula>
    </cfRule>
    <cfRule type="expression" dxfId="4" priority="7">
      <formula>$G7="P1"</formula>
    </cfRule>
    <cfRule type="expression" dxfId="3" priority="8">
      <formula>$G7="Tương lai"</formula>
    </cfRule>
  </conditionalFormatting>
  <dataValidations count="2">
    <dataValidation type="list" sqref="O7:O175" xr:uid="{00000000-0002-0000-0300-000000000000}">
      <formula1>"Chưa test,Đạt,Đạt có điều kiện,Không đạt,Không áp dụng (Tương lai)"</formula1>
    </dataValidation>
    <dataValidation type="list" sqref="G7:G175" xr:uid="{00000000-0002-0000-0300-000001000000}">
      <formula1>"P0,P1,Tương lai"</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15"/>
  <sheetViews>
    <sheetView showGridLines="0" tabSelected="1" topLeftCell="A4" workbookViewId="0">
      <selection activeCell="D9" sqref="D9"/>
    </sheetView>
  </sheetViews>
  <sheetFormatPr defaultRowHeight="13.8"/>
  <cols>
    <col min="1" max="1" width="18" customWidth="1"/>
    <col min="2" max="2" width="10" customWidth="1"/>
    <col min="3" max="3" width="34" customWidth="1"/>
    <col min="4" max="4" width="40" customWidth="1"/>
    <col min="5" max="5" width="72" customWidth="1"/>
    <col min="6" max="6" width="10" customWidth="1"/>
    <col min="7" max="7" width="16" customWidth="1"/>
    <col min="8" max="8" width="15" customWidth="1"/>
    <col min="9" max="9" width="12" customWidth="1"/>
    <col min="10" max="10" width="18" customWidth="1"/>
  </cols>
  <sheetData>
    <row r="1" spans="1:10" ht="34.049999999999997" customHeight="1">
      <c r="A1" s="20" t="s">
        <v>1316</v>
      </c>
      <c r="B1" s="20" t="s">
        <v>1316</v>
      </c>
      <c r="C1" s="20" t="s">
        <v>1316</v>
      </c>
      <c r="D1" s="20" t="s">
        <v>1316</v>
      </c>
      <c r="E1" s="20" t="s">
        <v>1316</v>
      </c>
      <c r="F1" s="20" t="s">
        <v>1316</v>
      </c>
      <c r="G1" s="20" t="s">
        <v>1316</v>
      </c>
      <c r="H1" s="20" t="s">
        <v>1316</v>
      </c>
      <c r="I1" s="20" t="s">
        <v>1316</v>
      </c>
      <c r="J1" s="20" t="s">
        <v>1316</v>
      </c>
    </row>
    <row r="2" spans="1:10" ht="30" customHeight="1">
      <c r="A2" s="21" t="s">
        <v>1317</v>
      </c>
      <c r="B2" s="21" t="s">
        <v>1317</v>
      </c>
      <c r="C2" s="21" t="s">
        <v>1317</v>
      </c>
      <c r="D2" s="21" t="s">
        <v>1317</v>
      </c>
      <c r="E2" s="21" t="s">
        <v>1317</v>
      </c>
      <c r="F2" s="21" t="s">
        <v>1317</v>
      </c>
      <c r="G2" s="21" t="s">
        <v>1317</v>
      </c>
      <c r="H2" s="21" t="s">
        <v>1317</v>
      </c>
      <c r="I2" s="21" t="s">
        <v>1317</v>
      </c>
      <c r="J2" s="21" t="s">
        <v>1317</v>
      </c>
    </row>
    <row r="5" spans="1:10" ht="31.95" customHeight="1">
      <c r="A5" s="1" t="s">
        <v>176</v>
      </c>
      <c r="B5" s="1" t="s">
        <v>177</v>
      </c>
      <c r="C5" s="1" t="s">
        <v>1318</v>
      </c>
      <c r="D5" s="1" t="s">
        <v>1319</v>
      </c>
      <c r="E5" s="1" t="s">
        <v>1320</v>
      </c>
      <c r="F5" s="1" t="s">
        <v>3</v>
      </c>
      <c r="G5" s="1" t="s">
        <v>1321</v>
      </c>
      <c r="H5" s="1" t="s">
        <v>1322</v>
      </c>
      <c r="I5" s="1" t="s">
        <v>1323</v>
      </c>
      <c r="J5" s="1" t="s">
        <v>1324</v>
      </c>
    </row>
    <row r="6" spans="1:10" ht="58.05" customHeight="1">
      <c r="A6" s="2" t="s">
        <v>194</v>
      </c>
      <c r="B6" s="2" t="s">
        <v>195</v>
      </c>
      <c r="C6" s="2" t="s">
        <v>1325</v>
      </c>
      <c r="D6" s="2" t="s">
        <v>1326</v>
      </c>
      <c r="E6" s="2" t="s">
        <v>204</v>
      </c>
      <c r="F6" s="2" t="s">
        <v>10</v>
      </c>
      <c r="G6" s="2" t="s">
        <v>193</v>
      </c>
      <c r="H6" s="2">
        <f>COUNTIF('Test Cases'!$C$7:$C$175,A6)</f>
        <v>1</v>
      </c>
      <c r="I6" s="2">
        <f>COUNTIFS('Test Cases'!$C$7:$C$175,A6,'Test Cases'!$O$7:$O$175,"Đạt")</f>
        <v>0</v>
      </c>
      <c r="J6" s="2" t="str">
        <f t="shared" ref="J6:J37" si="0">IF(H6=0,"Thiếu test case",IF(I6=H6,"Đã Đạt toàn bộ","Chưa đóng"))</f>
        <v>Chưa đóng</v>
      </c>
    </row>
    <row r="7" spans="1:10" ht="58.05" customHeight="1">
      <c r="A7" s="3" t="s">
        <v>207</v>
      </c>
      <c r="B7" s="3" t="s">
        <v>195</v>
      </c>
      <c r="C7" s="3" t="s">
        <v>1325</v>
      </c>
      <c r="D7" s="3" t="s">
        <v>1327</v>
      </c>
      <c r="E7" s="3" t="s">
        <v>210</v>
      </c>
      <c r="F7" s="3" t="s">
        <v>10</v>
      </c>
      <c r="G7" s="3" t="s">
        <v>206</v>
      </c>
      <c r="H7" s="3">
        <f>COUNTIF('Test Cases'!$C$7:$C$175,A7)</f>
        <v>1</v>
      </c>
      <c r="I7" s="3">
        <f>COUNTIFS('Test Cases'!$C$7:$C$175,A7,'Test Cases'!$O$7:$O$175,"Đạt")</f>
        <v>0</v>
      </c>
      <c r="J7" s="3" t="str">
        <f t="shared" si="0"/>
        <v>Chưa đóng</v>
      </c>
    </row>
    <row r="8" spans="1:10" ht="58.05" customHeight="1">
      <c r="A8" s="3" t="s">
        <v>213</v>
      </c>
      <c r="B8" s="3" t="s">
        <v>195</v>
      </c>
      <c r="C8" s="3" t="s">
        <v>1325</v>
      </c>
      <c r="D8" s="3" t="s">
        <v>1328</v>
      </c>
      <c r="E8" s="3" t="s">
        <v>216</v>
      </c>
      <c r="F8" s="3" t="s">
        <v>10</v>
      </c>
      <c r="G8" s="3" t="s">
        <v>212</v>
      </c>
      <c r="H8" s="3">
        <f>COUNTIF('Test Cases'!$C$7:$C$175,A8)</f>
        <v>1</v>
      </c>
      <c r="I8" s="3">
        <f>COUNTIFS('Test Cases'!$C$7:$C$175,A8,'Test Cases'!$O$7:$O$175,"Đạt")</f>
        <v>0</v>
      </c>
      <c r="J8" s="3" t="str">
        <f t="shared" si="0"/>
        <v>Chưa đóng</v>
      </c>
    </row>
    <row r="9" spans="1:10" ht="58.05" customHeight="1">
      <c r="A9" s="3" t="s">
        <v>219</v>
      </c>
      <c r="B9" s="3" t="s">
        <v>195</v>
      </c>
      <c r="C9" s="3" t="s">
        <v>1325</v>
      </c>
      <c r="D9" s="3" t="s">
        <v>1329</v>
      </c>
      <c r="E9" s="3" t="s">
        <v>223</v>
      </c>
      <c r="F9" s="3" t="s">
        <v>12</v>
      </c>
      <c r="G9" s="3" t="s">
        <v>218</v>
      </c>
      <c r="H9" s="3">
        <f>COUNTIF('Test Cases'!$C$7:$C$175,A9)</f>
        <v>1</v>
      </c>
      <c r="I9" s="3">
        <f>COUNTIFS('Test Cases'!$C$7:$C$175,A9,'Test Cases'!$O$7:$O$175,"Đạt")</f>
        <v>0</v>
      </c>
      <c r="J9" s="3" t="str">
        <f t="shared" si="0"/>
        <v>Chưa đóng</v>
      </c>
    </row>
    <row r="10" spans="1:10" ht="58.05" customHeight="1">
      <c r="A10" s="3" t="s">
        <v>227</v>
      </c>
      <c r="B10" s="3" t="s">
        <v>228</v>
      </c>
      <c r="C10" s="3" t="s">
        <v>1330</v>
      </c>
      <c r="D10" s="3" t="s">
        <v>1331</v>
      </c>
      <c r="E10" s="3" t="s">
        <v>236</v>
      </c>
      <c r="F10" s="3" t="s">
        <v>10</v>
      </c>
      <c r="G10" s="3" t="s">
        <v>226</v>
      </c>
      <c r="H10" s="3">
        <f>COUNTIF('Test Cases'!$C$7:$C$175,A10)</f>
        <v>4</v>
      </c>
      <c r="I10" s="3">
        <f>COUNTIFS('Test Cases'!$C$7:$C$175,A10,'Test Cases'!$O$7:$O$175,"Đạt")</f>
        <v>0</v>
      </c>
      <c r="J10" s="3" t="str">
        <f t="shared" si="0"/>
        <v>Chưa đóng</v>
      </c>
    </row>
    <row r="11" spans="1:10" ht="58.05" customHeight="1">
      <c r="A11" s="3" t="s">
        <v>239</v>
      </c>
      <c r="B11" s="3" t="s">
        <v>240</v>
      </c>
      <c r="C11" s="3" t="s">
        <v>1330</v>
      </c>
      <c r="D11" s="3" t="s">
        <v>1332</v>
      </c>
      <c r="E11" s="3" t="s">
        <v>243</v>
      </c>
      <c r="F11" s="3" t="s">
        <v>10</v>
      </c>
      <c r="G11" s="3" t="s">
        <v>238</v>
      </c>
      <c r="H11" s="3">
        <f>COUNTIF('Test Cases'!$C$7:$C$175,A11)</f>
        <v>4</v>
      </c>
      <c r="I11" s="3">
        <f>COUNTIFS('Test Cases'!$C$7:$C$175,A11,'Test Cases'!$O$7:$O$175,"Đạt")</f>
        <v>0</v>
      </c>
      <c r="J11" s="3" t="str">
        <f t="shared" si="0"/>
        <v>Chưa đóng</v>
      </c>
    </row>
    <row r="12" spans="1:10" ht="58.05" customHeight="1">
      <c r="A12" s="3" t="s">
        <v>246</v>
      </c>
      <c r="B12" s="3" t="s">
        <v>247</v>
      </c>
      <c r="C12" s="3" t="s">
        <v>1330</v>
      </c>
      <c r="D12" s="3" t="s">
        <v>1333</v>
      </c>
      <c r="E12" s="3" t="s">
        <v>251</v>
      </c>
      <c r="F12" s="3" t="s">
        <v>10</v>
      </c>
      <c r="G12" s="3" t="s">
        <v>245</v>
      </c>
      <c r="H12" s="3">
        <f>COUNTIF('Test Cases'!$C$7:$C$175,A12)</f>
        <v>2</v>
      </c>
      <c r="I12" s="3">
        <f>COUNTIFS('Test Cases'!$C$7:$C$175,A12,'Test Cases'!$O$7:$O$175,"Đạt")</f>
        <v>0</v>
      </c>
      <c r="J12" s="3" t="str">
        <f t="shared" si="0"/>
        <v>Chưa đóng</v>
      </c>
    </row>
    <row r="13" spans="1:10" ht="58.05" customHeight="1">
      <c r="A13" s="3" t="s">
        <v>254</v>
      </c>
      <c r="B13" s="3" t="s">
        <v>255</v>
      </c>
      <c r="C13" s="3" t="s">
        <v>1330</v>
      </c>
      <c r="D13" s="3" t="s">
        <v>1334</v>
      </c>
      <c r="E13" s="3" t="s">
        <v>258</v>
      </c>
      <c r="F13" s="3" t="s">
        <v>10</v>
      </c>
      <c r="G13" s="3" t="s">
        <v>253</v>
      </c>
      <c r="H13" s="3">
        <f>COUNTIF('Test Cases'!$C$7:$C$175,A13)</f>
        <v>2</v>
      </c>
      <c r="I13" s="3">
        <f>COUNTIFS('Test Cases'!$C$7:$C$175,A13,'Test Cases'!$O$7:$O$175,"Đạt")</f>
        <v>0</v>
      </c>
      <c r="J13" s="3" t="str">
        <f t="shared" si="0"/>
        <v>Chưa đóng</v>
      </c>
    </row>
    <row r="14" spans="1:10" ht="58.05" customHeight="1">
      <c r="A14" s="3" t="s">
        <v>261</v>
      </c>
      <c r="B14" s="3" t="s">
        <v>262</v>
      </c>
      <c r="C14" s="3" t="s">
        <v>1330</v>
      </c>
      <c r="D14" s="3" t="s">
        <v>1335</v>
      </c>
      <c r="E14" s="3" t="s">
        <v>265</v>
      </c>
      <c r="F14" s="3" t="s">
        <v>10</v>
      </c>
      <c r="G14" s="3" t="s">
        <v>260</v>
      </c>
      <c r="H14" s="3">
        <f>COUNTIF('Test Cases'!$C$7:$C$175,A14)</f>
        <v>2</v>
      </c>
      <c r="I14" s="3">
        <f>COUNTIFS('Test Cases'!$C$7:$C$175,A14,'Test Cases'!$O$7:$O$175,"Đạt")</f>
        <v>0</v>
      </c>
      <c r="J14" s="3" t="str">
        <f t="shared" si="0"/>
        <v>Chưa đóng</v>
      </c>
    </row>
    <row r="15" spans="1:10" ht="58.05" customHeight="1">
      <c r="A15" s="3" t="s">
        <v>268</v>
      </c>
      <c r="B15" s="3" t="s">
        <v>269</v>
      </c>
      <c r="C15" s="3" t="s">
        <v>1330</v>
      </c>
      <c r="D15" s="3" t="s">
        <v>1336</v>
      </c>
      <c r="E15" s="3" t="s">
        <v>272</v>
      </c>
      <c r="F15" s="3" t="s">
        <v>10</v>
      </c>
      <c r="G15" s="3" t="s">
        <v>267</v>
      </c>
      <c r="H15" s="3">
        <f>COUNTIF('Test Cases'!$C$7:$C$175,A15)</f>
        <v>2</v>
      </c>
      <c r="I15" s="3">
        <f>COUNTIFS('Test Cases'!$C$7:$C$175,A15,'Test Cases'!$O$7:$O$175,"Đạt")</f>
        <v>0</v>
      </c>
      <c r="J15" s="3" t="str">
        <f t="shared" si="0"/>
        <v>Chưa đóng</v>
      </c>
    </row>
    <row r="16" spans="1:10" ht="58.05" customHeight="1">
      <c r="A16" s="3" t="s">
        <v>275</v>
      </c>
      <c r="B16" s="3" t="s">
        <v>276</v>
      </c>
      <c r="C16" s="3" t="s">
        <v>1330</v>
      </c>
      <c r="D16" s="3" t="s">
        <v>1337</v>
      </c>
      <c r="E16" s="3" t="s">
        <v>280</v>
      </c>
      <c r="F16" s="3" t="s">
        <v>10</v>
      </c>
      <c r="G16" s="3" t="s">
        <v>274</v>
      </c>
      <c r="H16" s="3">
        <f>COUNTIF('Test Cases'!$C$7:$C$175,A16)</f>
        <v>3</v>
      </c>
      <c r="I16" s="3">
        <f>COUNTIFS('Test Cases'!$C$7:$C$175,A16,'Test Cases'!$O$7:$O$175,"Đạt")</f>
        <v>0</v>
      </c>
      <c r="J16" s="3" t="str">
        <f t="shared" si="0"/>
        <v>Chưa đóng</v>
      </c>
    </row>
    <row r="17" spans="1:10" ht="58.05" customHeight="1">
      <c r="A17" s="3" t="s">
        <v>283</v>
      </c>
      <c r="B17" s="3" t="s">
        <v>284</v>
      </c>
      <c r="C17" s="3" t="s">
        <v>1330</v>
      </c>
      <c r="D17" s="3" t="s">
        <v>1338</v>
      </c>
      <c r="E17" s="3" t="s">
        <v>288</v>
      </c>
      <c r="F17" s="3" t="s">
        <v>10</v>
      </c>
      <c r="G17" s="3" t="s">
        <v>282</v>
      </c>
      <c r="H17" s="3">
        <f>COUNTIF('Test Cases'!$C$7:$C$175,A17)</f>
        <v>3</v>
      </c>
      <c r="I17" s="3">
        <f>COUNTIFS('Test Cases'!$C$7:$C$175,A17,'Test Cases'!$O$7:$O$175,"Đạt")</f>
        <v>0</v>
      </c>
      <c r="J17" s="3" t="str">
        <f t="shared" si="0"/>
        <v>Chưa đóng</v>
      </c>
    </row>
    <row r="18" spans="1:10" ht="58.05" customHeight="1">
      <c r="A18" s="3" t="s">
        <v>291</v>
      </c>
      <c r="B18" s="3" t="s">
        <v>292</v>
      </c>
      <c r="C18" s="3" t="s">
        <v>1330</v>
      </c>
      <c r="D18" s="3" t="s">
        <v>1339</v>
      </c>
      <c r="E18" s="3" t="s">
        <v>295</v>
      </c>
      <c r="F18" s="3" t="s">
        <v>10</v>
      </c>
      <c r="G18" s="3" t="s">
        <v>290</v>
      </c>
      <c r="H18" s="3">
        <f>COUNTIF('Test Cases'!$C$7:$C$175,A18)</f>
        <v>1</v>
      </c>
      <c r="I18" s="3">
        <f>COUNTIFS('Test Cases'!$C$7:$C$175,A18,'Test Cases'!$O$7:$O$175,"Đạt")</f>
        <v>0</v>
      </c>
      <c r="J18" s="3" t="str">
        <f t="shared" si="0"/>
        <v>Chưa đóng</v>
      </c>
    </row>
    <row r="19" spans="1:10" ht="58.05" customHeight="1">
      <c r="A19" s="3" t="s">
        <v>298</v>
      </c>
      <c r="B19" s="3" t="s">
        <v>299</v>
      </c>
      <c r="C19" s="3" t="s">
        <v>1340</v>
      </c>
      <c r="D19" s="3" t="s">
        <v>1341</v>
      </c>
      <c r="E19" s="3" t="s">
        <v>304</v>
      </c>
      <c r="F19" s="3" t="s">
        <v>10</v>
      </c>
      <c r="G19" s="3" t="s">
        <v>297</v>
      </c>
      <c r="H19" s="3">
        <f>COUNTIF('Test Cases'!$C$7:$C$175,A19)</f>
        <v>1</v>
      </c>
      <c r="I19" s="3">
        <f>COUNTIFS('Test Cases'!$C$7:$C$175,A19,'Test Cases'!$O$7:$O$175,"Đạt")</f>
        <v>0</v>
      </c>
      <c r="J19" s="3" t="str">
        <f t="shared" si="0"/>
        <v>Chưa đóng</v>
      </c>
    </row>
    <row r="20" spans="1:10" ht="58.05" customHeight="1">
      <c r="A20" s="3" t="s">
        <v>307</v>
      </c>
      <c r="B20" s="3" t="s">
        <v>308</v>
      </c>
      <c r="C20" s="3" t="s">
        <v>1340</v>
      </c>
      <c r="D20" s="3" t="s">
        <v>1342</v>
      </c>
      <c r="E20" s="3" t="s">
        <v>311</v>
      </c>
      <c r="F20" s="3" t="s">
        <v>10</v>
      </c>
      <c r="G20" s="3" t="s">
        <v>306</v>
      </c>
      <c r="H20" s="3">
        <f>COUNTIF('Test Cases'!$C$7:$C$175,A20)</f>
        <v>3</v>
      </c>
      <c r="I20" s="3">
        <f>COUNTIFS('Test Cases'!$C$7:$C$175,A20,'Test Cases'!$O$7:$O$175,"Đạt")</f>
        <v>0</v>
      </c>
      <c r="J20" s="3" t="str">
        <f t="shared" si="0"/>
        <v>Chưa đóng</v>
      </c>
    </row>
    <row r="21" spans="1:10" ht="58.05" customHeight="1">
      <c r="A21" s="3" t="s">
        <v>314</v>
      </c>
      <c r="B21" s="3" t="s">
        <v>315</v>
      </c>
      <c r="C21" s="3" t="s">
        <v>1340</v>
      </c>
      <c r="D21" s="3" t="s">
        <v>1343</v>
      </c>
      <c r="E21" s="3" t="s">
        <v>318</v>
      </c>
      <c r="F21" s="3" t="s">
        <v>11</v>
      </c>
      <c r="G21" s="3" t="s">
        <v>313</v>
      </c>
      <c r="H21" s="3">
        <f>COUNTIF('Test Cases'!$C$7:$C$175,A21)</f>
        <v>3</v>
      </c>
      <c r="I21" s="3">
        <f>COUNTIFS('Test Cases'!$C$7:$C$175,A21,'Test Cases'!$O$7:$O$175,"Đạt")</f>
        <v>0</v>
      </c>
      <c r="J21" s="3" t="str">
        <f t="shared" si="0"/>
        <v>Chưa đóng</v>
      </c>
    </row>
    <row r="22" spans="1:10" ht="58.05" customHeight="1">
      <c r="A22" s="3" t="s">
        <v>321</v>
      </c>
      <c r="B22" s="3" t="s">
        <v>322</v>
      </c>
      <c r="C22" s="3" t="s">
        <v>1340</v>
      </c>
      <c r="D22" s="3" t="s">
        <v>1344</v>
      </c>
      <c r="E22" s="3" t="s">
        <v>325</v>
      </c>
      <c r="F22" s="3" t="s">
        <v>10</v>
      </c>
      <c r="G22" s="3" t="s">
        <v>320</v>
      </c>
      <c r="H22" s="3">
        <f>COUNTIF('Test Cases'!$C$7:$C$175,A22)</f>
        <v>1</v>
      </c>
      <c r="I22" s="3">
        <f>COUNTIFS('Test Cases'!$C$7:$C$175,A22,'Test Cases'!$O$7:$O$175,"Đạt")</f>
        <v>0</v>
      </c>
      <c r="J22" s="3" t="str">
        <f t="shared" si="0"/>
        <v>Chưa đóng</v>
      </c>
    </row>
    <row r="23" spans="1:10" ht="58.05" customHeight="1">
      <c r="A23" s="3" t="s">
        <v>328</v>
      </c>
      <c r="B23" s="3" t="s">
        <v>329</v>
      </c>
      <c r="C23" s="3" t="s">
        <v>1340</v>
      </c>
      <c r="D23" s="3" t="s">
        <v>1345</v>
      </c>
      <c r="E23" s="3" t="s">
        <v>333</v>
      </c>
      <c r="F23" s="3" t="s">
        <v>11</v>
      </c>
      <c r="G23" s="3" t="s">
        <v>327</v>
      </c>
      <c r="H23" s="3">
        <f>COUNTIF('Test Cases'!$C$7:$C$175,A23)</f>
        <v>1</v>
      </c>
      <c r="I23" s="3">
        <f>COUNTIFS('Test Cases'!$C$7:$C$175,A23,'Test Cases'!$O$7:$O$175,"Đạt")</f>
        <v>0</v>
      </c>
      <c r="J23" s="3" t="str">
        <f t="shared" si="0"/>
        <v>Chưa đóng</v>
      </c>
    </row>
    <row r="24" spans="1:10" ht="58.05" customHeight="1">
      <c r="A24" s="3" t="s">
        <v>336</v>
      </c>
      <c r="B24" s="3" t="s">
        <v>337</v>
      </c>
      <c r="C24" s="3" t="s">
        <v>1340</v>
      </c>
      <c r="D24" s="3" t="s">
        <v>1346</v>
      </c>
      <c r="E24" s="3" t="s">
        <v>340</v>
      </c>
      <c r="F24" s="3" t="s">
        <v>11</v>
      </c>
      <c r="G24" s="3" t="s">
        <v>335</v>
      </c>
      <c r="H24" s="3">
        <f>COUNTIF('Test Cases'!$C$7:$C$175,A24)</f>
        <v>1</v>
      </c>
      <c r="I24" s="3">
        <f>COUNTIFS('Test Cases'!$C$7:$C$175,A24,'Test Cases'!$O$7:$O$175,"Đạt")</f>
        <v>0</v>
      </c>
      <c r="J24" s="3" t="str">
        <f t="shared" si="0"/>
        <v>Chưa đóng</v>
      </c>
    </row>
    <row r="25" spans="1:10" ht="58.05" customHeight="1">
      <c r="A25" s="3" t="s">
        <v>343</v>
      </c>
      <c r="B25" s="3" t="s">
        <v>344</v>
      </c>
      <c r="C25" s="3" t="s">
        <v>1347</v>
      </c>
      <c r="D25" s="3" t="s">
        <v>1348</v>
      </c>
      <c r="E25" s="3" t="s">
        <v>348</v>
      </c>
      <c r="F25" s="3" t="s">
        <v>10</v>
      </c>
      <c r="G25" s="3" t="s">
        <v>342</v>
      </c>
      <c r="H25" s="3">
        <f>COUNTIF('Test Cases'!$C$7:$C$175,A25)</f>
        <v>2</v>
      </c>
      <c r="I25" s="3">
        <f>COUNTIFS('Test Cases'!$C$7:$C$175,A25,'Test Cases'!$O$7:$O$175,"Đạt")</f>
        <v>0</v>
      </c>
      <c r="J25" s="3" t="str">
        <f t="shared" si="0"/>
        <v>Chưa đóng</v>
      </c>
    </row>
    <row r="26" spans="1:10" ht="58.05" customHeight="1">
      <c r="A26" s="3" t="s">
        <v>351</v>
      </c>
      <c r="B26" s="3" t="s">
        <v>352</v>
      </c>
      <c r="C26" s="3" t="s">
        <v>1347</v>
      </c>
      <c r="D26" s="3" t="s">
        <v>1349</v>
      </c>
      <c r="E26" s="3" t="s">
        <v>355</v>
      </c>
      <c r="F26" s="3" t="s">
        <v>10</v>
      </c>
      <c r="G26" s="3" t="s">
        <v>350</v>
      </c>
      <c r="H26" s="3">
        <f>COUNTIF('Test Cases'!$C$7:$C$175,A26)</f>
        <v>1</v>
      </c>
      <c r="I26" s="3">
        <f>COUNTIFS('Test Cases'!$C$7:$C$175,A26,'Test Cases'!$O$7:$O$175,"Đạt")</f>
        <v>0</v>
      </c>
      <c r="J26" s="3" t="str">
        <f t="shared" si="0"/>
        <v>Chưa đóng</v>
      </c>
    </row>
    <row r="27" spans="1:10" ht="58.05" customHeight="1">
      <c r="A27" s="3" t="s">
        <v>358</v>
      </c>
      <c r="B27" s="3" t="s">
        <v>359</v>
      </c>
      <c r="C27" s="3" t="s">
        <v>1347</v>
      </c>
      <c r="D27" s="3" t="s">
        <v>1350</v>
      </c>
      <c r="E27" s="3" t="s">
        <v>362</v>
      </c>
      <c r="F27" s="3" t="s">
        <v>10</v>
      </c>
      <c r="G27" s="3" t="s">
        <v>357</v>
      </c>
      <c r="H27" s="3">
        <f>COUNTIF('Test Cases'!$C$7:$C$175,A27)</f>
        <v>1</v>
      </c>
      <c r="I27" s="3">
        <f>COUNTIFS('Test Cases'!$C$7:$C$175,A27,'Test Cases'!$O$7:$O$175,"Đạt")</f>
        <v>0</v>
      </c>
      <c r="J27" s="3" t="str">
        <f t="shared" si="0"/>
        <v>Chưa đóng</v>
      </c>
    </row>
    <row r="28" spans="1:10" ht="58.05" customHeight="1">
      <c r="A28" s="3" t="s">
        <v>365</v>
      </c>
      <c r="B28" s="3" t="s">
        <v>366</v>
      </c>
      <c r="C28" s="3" t="s">
        <v>1347</v>
      </c>
      <c r="D28" s="3" t="s">
        <v>1351</v>
      </c>
      <c r="E28" s="3" t="s">
        <v>369</v>
      </c>
      <c r="F28" s="3" t="s">
        <v>10</v>
      </c>
      <c r="G28" s="3" t="s">
        <v>364</v>
      </c>
      <c r="H28" s="3">
        <f>COUNTIF('Test Cases'!$C$7:$C$175,A28)</f>
        <v>1</v>
      </c>
      <c r="I28" s="3">
        <f>COUNTIFS('Test Cases'!$C$7:$C$175,A28,'Test Cases'!$O$7:$O$175,"Đạt")</f>
        <v>0</v>
      </c>
      <c r="J28" s="3" t="str">
        <f t="shared" si="0"/>
        <v>Chưa đóng</v>
      </c>
    </row>
    <row r="29" spans="1:10" ht="58.05" customHeight="1">
      <c r="A29" s="3" t="s">
        <v>372</v>
      </c>
      <c r="B29" s="3" t="s">
        <v>373</v>
      </c>
      <c r="C29" s="3" t="s">
        <v>1347</v>
      </c>
      <c r="D29" s="3" t="s">
        <v>1352</v>
      </c>
      <c r="E29" s="3" t="s">
        <v>376</v>
      </c>
      <c r="F29" s="3" t="s">
        <v>10</v>
      </c>
      <c r="G29" s="3" t="s">
        <v>371</v>
      </c>
      <c r="H29" s="3">
        <f>COUNTIF('Test Cases'!$C$7:$C$175,A29)</f>
        <v>1</v>
      </c>
      <c r="I29" s="3">
        <f>COUNTIFS('Test Cases'!$C$7:$C$175,A29,'Test Cases'!$O$7:$O$175,"Đạt")</f>
        <v>0</v>
      </c>
      <c r="J29" s="3" t="str">
        <f t="shared" si="0"/>
        <v>Chưa đóng</v>
      </c>
    </row>
    <row r="30" spans="1:10" ht="58.05" customHeight="1">
      <c r="A30" s="3" t="s">
        <v>379</v>
      </c>
      <c r="B30" s="3" t="s">
        <v>380</v>
      </c>
      <c r="C30" s="3" t="s">
        <v>1347</v>
      </c>
      <c r="D30" s="3" t="s">
        <v>1353</v>
      </c>
      <c r="E30" s="3" t="s">
        <v>383</v>
      </c>
      <c r="F30" s="3" t="s">
        <v>10</v>
      </c>
      <c r="G30" s="3" t="s">
        <v>378</v>
      </c>
      <c r="H30" s="3">
        <f>COUNTIF('Test Cases'!$C$7:$C$175,A30)</f>
        <v>2</v>
      </c>
      <c r="I30" s="3">
        <f>COUNTIFS('Test Cases'!$C$7:$C$175,A30,'Test Cases'!$O$7:$O$175,"Đạt")</f>
        <v>0</v>
      </c>
      <c r="J30" s="3" t="str">
        <f t="shared" si="0"/>
        <v>Chưa đóng</v>
      </c>
    </row>
    <row r="31" spans="1:10" ht="58.05" customHeight="1">
      <c r="A31" s="3" t="s">
        <v>386</v>
      </c>
      <c r="B31" s="3" t="s">
        <v>387</v>
      </c>
      <c r="C31" s="3" t="s">
        <v>1347</v>
      </c>
      <c r="D31" s="3" t="s">
        <v>1354</v>
      </c>
      <c r="E31" s="3" t="s">
        <v>390</v>
      </c>
      <c r="F31" s="3" t="s">
        <v>10</v>
      </c>
      <c r="G31" s="3" t="s">
        <v>385</v>
      </c>
      <c r="H31" s="3">
        <f>COUNTIF('Test Cases'!$C$7:$C$175,A31)</f>
        <v>2</v>
      </c>
      <c r="I31" s="3">
        <f>COUNTIFS('Test Cases'!$C$7:$C$175,A31,'Test Cases'!$O$7:$O$175,"Đạt")</f>
        <v>0</v>
      </c>
      <c r="J31" s="3" t="str">
        <f t="shared" si="0"/>
        <v>Chưa đóng</v>
      </c>
    </row>
    <row r="32" spans="1:10" ht="58.05" customHeight="1">
      <c r="A32" s="3" t="s">
        <v>393</v>
      </c>
      <c r="B32" s="3" t="s">
        <v>394</v>
      </c>
      <c r="C32" s="3" t="s">
        <v>1347</v>
      </c>
      <c r="D32" s="3" t="s">
        <v>1355</v>
      </c>
      <c r="E32" s="3" t="s">
        <v>397</v>
      </c>
      <c r="F32" s="3" t="s">
        <v>11</v>
      </c>
      <c r="G32" s="3" t="s">
        <v>392</v>
      </c>
      <c r="H32" s="3">
        <f>COUNTIF('Test Cases'!$C$7:$C$175,A32)</f>
        <v>1</v>
      </c>
      <c r="I32" s="3">
        <f>COUNTIFS('Test Cases'!$C$7:$C$175,A32,'Test Cases'!$O$7:$O$175,"Đạt")</f>
        <v>0</v>
      </c>
      <c r="J32" s="3" t="str">
        <f t="shared" si="0"/>
        <v>Chưa đóng</v>
      </c>
    </row>
    <row r="33" spans="1:10" ht="58.05" customHeight="1">
      <c r="A33" s="3" t="s">
        <v>400</v>
      </c>
      <c r="B33" s="3" t="s">
        <v>401</v>
      </c>
      <c r="C33" s="3" t="s">
        <v>1347</v>
      </c>
      <c r="D33" s="3" t="s">
        <v>1356</v>
      </c>
      <c r="E33" s="3" t="s">
        <v>404</v>
      </c>
      <c r="F33" s="3" t="s">
        <v>11</v>
      </c>
      <c r="G33" s="3" t="s">
        <v>399</v>
      </c>
      <c r="H33" s="3">
        <f>COUNTIF('Test Cases'!$C$7:$C$175,A33)</f>
        <v>1</v>
      </c>
      <c r="I33" s="3">
        <f>COUNTIFS('Test Cases'!$C$7:$C$175,A33,'Test Cases'!$O$7:$O$175,"Đạt")</f>
        <v>0</v>
      </c>
      <c r="J33" s="3" t="str">
        <f t="shared" si="0"/>
        <v>Chưa đóng</v>
      </c>
    </row>
    <row r="34" spans="1:10" ht="58.05" customHeight="1">
      <c r="A34" s="3" t="s">
        <v>407</v>
      </c>
      <c r="B34" s="3" t="s">
        <v>408</v>
      </c>
      <c r="C34" s="3" t="s">
        <v>1347</v>
      </c>
      <c r="D34" s="3" t="s">
        <v>1357</v>
      </c>
      <c r="E34" s="3" t="s">
        <v>411</v>
      </c>
      <c r="F34" s="3" t="s">
        <v>10</v>
      </c>
      <c r="G34" s="3" t="s">
        <v>406</v>
      </c>
      <c r="H34" s="3">
        <f>COUNTIF('Test Cases'!$C$7:$C$175,A34)</f>
        <v>4</v>
      </c>
      <c r="I34" s="3">
        <f>COUNTIFS('Test Cases'!$C$7:$C$175,A34,'Test Cases'!$O$7:$O$175,"Đạt")</f>
        <v>0</v>
      </c>
      <c r="J34" s="3" t="str">
        <f t="shared" si="0"/>
        <v>Chưa đóng</v>
      </c>
    </row>
    <row r="35" spans="1:10" ht="58.05" customHeight="1">
      <c r="A35" s="3" t="s">
        <v>414</v>
      </c>
      <c r="B35" s="3" t="s">
        <v>415</v>
      </c>
      <c r="C35" s="3" t="s">
        <v>1347</v>
      </c>
      <c r="D35" s="3" t="s">
        <v>1358</v>
      </c>
      <c r="E35" s="3" t="s">
        <v>418</v>
      </c>
      <c r="F35" s="3" t="s">
        <v>11</v>
      </c>
      <c r="G35" s="3" t="s">
        <v>413</v>
      </c>
      <c r="H35" s="3">
        <f>COUNTIF('Test Cases'!$C$7:$C$175,A35)</f>
        <v>1</v>
      </c>
      <c r="I35" s="3">
        <f>COUNTIFS('Test Cases'!$C$7:$C$175,A35,'Test Cases'!$O$7:$O$175,"Đạt")</f>
        <v>0</v>
      </c>
      <c r="J35" s="3" t="str">
        <f t="shared" si="0"/>
        <v>Chưa đóng</v>
      </c>
    </row>
    <row r="36" spans="1:10" ht="58.05" customHeight="1">
      <c r="A36" s="3" t="s">
        <v>421</v>
      </c>
      <c r="B36" s="3" t="s">
        <v>422</v>
      </c>
      <c r="C36" s="3" t="s">
        <v>1359</v>
      </c>
      <c r="D36" s="3" t="s">
        <v>1360</v>
      </c>
      <c r="E36" s="3" t="s">
        <v>429</v>
      </c>
      <c r="F36" s="3" t="s">
        <v>10</v>
      </c>
      <c r="G36" s="3" t="s">
        <v>420</v>
      </c>
      <c r="H36" s="3">
        <f>COUNTIF('Test Cases'!$C$7:$C$175,A36)</f>
        <v>1</v>
      </c>
      <c r="I36" s="3">
        <f>COUNTIFS('Test Cases'!$C$7:$C$175,A36,'Test Cases'!$O$7:$O$175,"Đạt")</f>
        <v>0</v>
      </c>
      <c r="J36" s="3" t="str">
        <f t="shared" si="0"/>
        <v>Chưa đóng</v>
      </c>
    </row>
    <row r="37" spans="1:10" ht="58.05" customHeight="1">
      <c r="A37" s="3" t="s">
        <v>432</v>
      </c>
      <c r="B37" s="3" t="s">
        <v>433</v>
      </c>
      <c r="C37" s="3" t="s">
        <v>1359</v>
      </c>
      <c r="D37" s="3" t="s">
        <v>1361</v>
      </c>
      <c r="E37" s="3" t="s">
        <v>436</v>
      </c>
      <c r="F37" s="3" t="s">
        <v>10</v>
      </c>
      <c r="G37" s="3" t="s">
        <v>431</v>
      </c>
      <c r="H37" s="3">
        <f>COUNTIF('Test Cases'!$C$7:$C$175,A37)</f>
        <v>1</v>
      </c>
      <c r="I37" s="3">
        <f>COUNTIFS('Test Cases'!$C$7:$C$175,A37,'Test Cases'!$O$7:$O$175,"Đạt")</f>
        <v>0</v>
      </c>
      <c r="J37" s="3" t="str">
        <f t="shared" si="0"/>
        <v>Chưa đóng</v>
      </c>
    </row>
    <row r="38" spans="1:10" ht="58.05" customHeight="1">
      <c r="A38" s="3" t="s">
        <v>439</v>
      </c>
      <c r="B38" s="3" t="s">
        <v>440</v>
      </c>
      <c r="C38" s="3" t="s">
        <v>1359</v>
      </c>
      <c r="D38" s="3" t="s">
        <v>1362</v>
      </c>
      <c r="E38" s="3" t="s">
        <v>443</v>
      </c>
      <c r="F38" s="3" t="s">
        <v>10</v>
      </c>
      <c r="G38" s="3" t="s">
        <v>438</v>
      </c>
      <c r="H38" s="3">
        <f>COUNTIF('Test Cases'!$C$7:$C$175,A38)</f>
        <v>2</v>
      </c>
      <c r="I38" s="3">
        <f>COUNTIFS('Test Cases'!$C$7:$C$175,A38,'Test Cases'!$O$7:$O$175,"Đạt")</f>
        <v>0</v>
      </c>
      <c r="J38" s="3" t="str">
        <f t="shared" ref="J38:J69" si="1">IF(H38=0,"Thiếu test case",IF(I38=H38,"Đã Đạt toàn bộ","Chưa đóng"))</f>
        <v>Chưa đóng</v>
      </c>
    </row>
    <row r="39" spans="1:10" ht="58.05" customHeight="1">
      <c r="A39" s="3" t="s">
        <v>446</v>
      </c>
      <c r="B39" s="3" t="s">
        <v>447</v>
      </c>
      <c r="C39" s="3" t="s">
        <v>1359</v>
      </c>
      <c r="D39" s="3" t="s">
        <v>1363</v>
      </c>
      <c r="E39" s="3" t="s">
        <v>450</v>
      </c>
      <c r="F39" s="3" t="s">
        <v>10</v>
      </c>
      <c r="G39" s="3" t="s">
        <v>445</v>
      </c>
      <c r="H39" s="3">
        <f>COUNTIF('Test Cases'!$C$7:$C$175,A39)</f>
        <v>1</v>
      </c>
      <c r="I39" s="3">
        <f>COUNTIFS('Test Cases'!$C$7:$C$175,A39,'Test Cases'!$O$7:$O$175,"Đạt")</f>
        <v>0</v>
      </c>
      <c r="J39" s="3" t="str">
        <f t="shared" si="1"/>
        <v>Chưa đóng</v>
      </c>
    </row>
    <row r="40" spans="1:10" ht="58.05" customHeight="1">
      <c r="A40" s="3" t="s">
        <v>453</v>
      </c>
      <c r="B40" s="3" t="s">
        <v>454</v>
      </c>
      <c r="C40" s="3" t="s">
        <v>1359</v>
      </c>
      <c r="D40" s="3" t="s">
        <v>1364</v>
      </c>
      <c r="E40" s="3" t="s">
        <v>457</v>
      </c>
      <c r="F40" s="3" t="s">
        <v>10</v>
      </c>
      <c r="G40" s="3" t="s">
        <v>452</v>
      </c>
      <c r="H40" s="3">
        <f>COUNTIF('Test Cases'!$C$7:$C$175,A40)</f>
        <v>1</v>
      </c>
      <c r="I40" s="3">
        <f>COUNTIFS('Test Cases'!$C$7:$C$175,A40,'Test Cases'!$O$7:$O$175,"Đạt")</f>
        <v>0</v>
      </c>
      <c r="J40" s="3" t="str">
        <f t="shared" si="1"/>
        <v>Chưa đóng</v>
      </c>
    </row>
    <row r="41" spans="1:10" ht="58.05" customHeight="1">
      <c r="A41" s="3" t="s">
        <v>460</v>
      </c>
      <c r="B41" s="3" t="s">
        <v>461</v>
      </c>
      <c r="C41" s="3" t="s">
        <v>1359</v>
      </c>
      <c r="D41" s="3" t="s">
        <v>1365</v>
      </c>
      <c r="E41" s="3" t="s">
        <v>464</v>
      </c>
      <c r="F41" s="3" t="s">
        <v>11</v>
      </c>
      <c r="G41" s="3" t="s">
        <v>459</v>
      </c>
      <c r="H41" s="3">
        <f>COUNTIF('Test Cases'!$C$7:$C$175,A41)</f>
        <v>1</v>
      </c>
      <c r="I41" s="3">
        <f>COUNTIFS('Test Cases'!$C$7:$C$175,A41,'Test Cases'!$O$7:$O$175,"Đạt")</f>
        <v>0</v>
      </c>
      <c r="J41" s="3" t="str">
        <f t="shared" si="1"/>
        <v>Chưa đóng</v>
      </c>
    </row>
    <row r="42" spans="1:10" ht="58.05" customHeight="1">
      <c r="A42" s="3" t="s">
        <v>467</v>
      </c>
      <c r="B42" s="3" t="s">
        <v>468</v>
      </c>
      <c r="C42" s="3" t="s">
        <v>1359</v>
      </c>
      <c r="D42" s="3" t="s">
        <v>1366</v>
      </c>
      <c r="E42" s="3" t="s">
        <v>471</v>
      </c>
      <c r="F42" s="3" t="s">
        <v>10</v>
      </c>
      <c r="G42" s="3" t="s">
        <v>466</v>
      </c>
      <c r="H42" s="3">
        <f>COUNTIF('Test Cases'!$C$7:$C$175,A42)</f>
        <v>2</v>
      </c>
      <c r="I42" s="3">
        <f>COUNTIFS('Test Cases'!$C$7:$C$175,A42,'Test Cases'!$O$7:$O$175,"Đạt")</f>
        <v>0</v>
      </c>
      <c r="J42" s="3" t="str">
        <f t="shared" si="1"/>
        <v>Chưa đóng</v>
      </c>
    </row>
    <row r="43" spans="1:10" ht="58.05" customHeight="1">
      <c r="A43" s="3" t="s">
        <v>474</v>
      </c>
      <c r="B43" s="3" t="s">
        <v>475</v>
      </c>
      <c r="C43" s="3" t="s">
        <v>1359</v>
      </c>
      <c r="D43" s="3" t="s">
        <v>1367</v>
      </c>
      <c r="E43" s="3" t="s">
        <v>478</v>
      </c>
      <c r="F43" s="3" t="s">
        <v>10</v>
      </c>
      <c r="G43" s="3" t="s">
        <v>473</v>
      </c>
      <c r="H43" s="3">
        <f>COUNTIF('Test Cases'!$C$7:$C$175,A43)</f>
        <v>2</v>
      </c>
      <c r="I43" s="3">
        <f>COUNTIFS('Test Cases'!$C$7:$C$175,A43,'Test Cases'!$O$7:$O$175,"Đạt")</f>
        <v>0</v>
      </c>
      <c r="J43" s="3" t="str">
        <f t="shared" si="1"/>
        <v>Chưa đóng</v>
      </c>
    </row>
    <row r="44" spans="1:10" ht="58.05" customHeight="1">
      <c r="A44" s="3" t="s">
        <v>481</v>
      </c>
      <c r="B44" s="3" t="s">
        <v>482</v>
      </c>
      <c r="C44" s="3" t="s">
        <v>1359</v>
      </c>
      <c r="D44" s="3" t="s">
        <v>1368</v>
      </c>
      <c r="E44" s="3" t="s">
        <v>485</v>
      </c>
      <c r="F44" s="3" t="s">
        <v>10</v>
      </c>
      <c r="G44" s="3" t="s">
        <v>480</v>
      </c>
      <c r="H44" s="3">
        <f>COUNTIF('Test Cases'!$C$7:$C$175,A44)</f>
        <v>1</v>
      </c>
      <c r="I44" s="3">
        <f>COUNTIFS('Test Cases'!$C$7:$C$175,A44,'Test Cases'!$O$7:$O$175,"Đạt")</f>
        <v>0</v>
      </c>
      <c r="J44" s="3" t="str">
        <f t="shared" si="1"/>
        <v>Chưa đóng</v>
      </c>
    </row>
    <row r="45" spans="1:10" ht="58.05" customHeight="1">
      <c r="A45" s="3" t="s">
        <v>488</v>
      </c>
      <c r="B45" s="3" t="s">
        <v>489</v>
      </c>
      <c r="C45" s="3" t="s">
        <v>1359</v>
      </c>
      <c r="D45" s="3" t="s">
        <v>1369</v>
      </c>
      <c r="E45" s="3" t="s">
        <v>492</v>
      </c>
      <c r="F45" s="3" t="s">
        <v>10</v>
      </c>
      <c r="G45" s="3" t="s">
        <v>487</v>
      </c>
      <c r="H45" s="3">
        <f>COUNTIF('Test Cases'!$C$7:$C$175,A45)</f>
        <v>1</v>
      </c>
      <c r="I45" s="3">
        <f>COUNTIFS('Test Cases'!$C$7:$C$175,A45,'Test Cases'!$O$7:$O$175,"Đạt")</f>
        <v>0</v>
      </c>
      <c r="J45" s="3" t="str">
        <f t="shared" si="1"/>
        <v>Chưa đóng</v>
      </c>
    </row>
    <row r="46" spans="1:10" ht="58.05" customHeight="1">
      <c r="A46" s="3" t="s">
        <v>495</v>
      </c>
      <c r="B46" s="3" t="s">
        <v>496</v>
      </c>
      <c r="C46" s="3" t="s">
        <v>1359</v>
      </c>
      <c r="D46" s="3" t="s">
        <v>1370</v>
      </c>
      <c r="E46" s="3" t="s">
        <v>499</v>
      </c>
      <c r="F46" s="3" t="s">
        <v>11</v>
      </c>
      <c r="G46" s="3" t="s">
        <v>494</v>
      </c>
      <c r="H46" s="3">
        <f>COUNTIF('Test Cases'!$C$7:$C$175,A46)</f>
        <v>1</v>
      </c>
      <c r="I46" s="3">
        <f>COUNTIFS('Test Cases'!$C$7:$C$175,A46,'Test Cases'!$O$7:$O$175,"Đạt")</f>
        <v>0</v>
      </c>
      <c r="J46" s="3" t="str">
        <f t="shared" si="1"/>
        <v>Chưa đóng</v>
      </c>
    </row>
    <row r="47" spans="1:10" ht="58.05" customHeight="1">
      <c r="A47" s="3" t="s">
        <v>502</v>
      </c>
      <c r="B47" s="3" t="s">
        <v>503</v>
      </c>
      <c r="C47" s="3" t="s">
        <v>1359</v>
      </c>
      <c r="D47" s="3" t="s">
        <v>1371</v>
      </c>
      <c r="E47" s="3" t="s">
        <v>506</v>
      </c>
      <c r="F47" s="3" t="s">
        <v>11</v>
      </c>
      <c r="G47" s="3" t="s">
        <v>501</v>
      </c>
      <c r="H47" s="3">
        <f>COUNTIF('Test Cases'!$C$7:$C$175,A47)</f>
        <v>1</v>
      </c>
      <c r="I47" s="3">
        <f>COUNTIFS('Test Cases'!$C$7:$C$175,A47,'Test Cases'!$O$7:$O$175,"Đạt")</f>
        <v>0</v>
      </c>
      <c r="J47" s="3" t="str">
        <f t="shared" si="1"/>
        <v>Chưa đóng</v>
      </c>
    </row>
    <row r="48" spans="1:10" ht="58.05" customHeight="1">
      <c r="A48" s="3" t="s">
        <v>509</v>
      </c>
      <c r="B48" s="3" t="s">
        <v>510</v>
      </c>
      <c r="C48" s="3" t="s">
        <v>1372</v>
      </c>
      <c r="D48" s="3" t="s">
        <v>1373</v>
      </c>
      <c r="E48" s="3" t="s">
        <v>516</v>
      </c>
      <c r="F48" s="3" t="s">
        <v>10</v>
      </c>
      <c r="G48" s="3" t="s">
        <v>508</v>
      </c>
      <c r="H48" s="3">
        <f>COUNTIF('Test Cases'!$C$7:$C$175,A48)</f>
        <v>1</v>
      </c>
      <c r="I48" s="3">
        <f>COUNTIFS('Test Cases'!$C$7:$C$175,A48,'Test Cases'!$O$7:$O$175,"Đạt")</f>
        <v>0</v>
      </c>
      <c r="J48" s="3" t="str">
        <f t="shared" si="1"/>
        <v>Chưa đóng</v>
      </c>
    </row>
    <row r="49" spans="1:10" ht="58.05" customHeight="1">
      <c r="A49" s="3" t="s">
        <v>519</v>
      </c>
      <c r="B49" s="3" t="s">
        <v>520</v>
      </c>
      <c r="C49" s="3" t="s">
        <v>1372</v>
      </c>
      <c r="D49" s="3" t="s">
        <v>1374</v>
      </c>
      <c r="E49" s="3" t="s">
        <v>523</v>
      </c>
      <c r="F49" s="3" t="s">
        <v>10</v>
      </c>
      <c r="G49" s="3" t="s">
        <v>518</v>
      </c>
      <c r="H49" s="3">
        <f>COUNTIF('Test Cases'!$C$7:$C$175,A49)</f>
        <v>2</v>
      </c>
      <c r="I49" s="3">
        <f>COUNTIFS('Test Cases'!$C$7:$C$175,A49,'Test Cases'!$O$7:$O$175,"Đạt")</f>
        <v>0</v>
      </c>
      <c r="J49" s="3" t="str">
        <f t="shared" si="1"/>
        <v>Chưa đóng</v>
      </c>
    </row>
    <row r="50" spans="1:10" ht="58.05" customHeight="1">
      <c r="A50" s="3" t="s">
        <v>526</v>
      </c>
      <c r="B50" s="3" t="s">
        <v>527</v>
      </c>
      <c r="C50" s="3" t="s">
        <v>1372</v>
      </c>
      <c r="D50" s="3" t="s">
        <v>1375</v>
      </c>
      <c r="E50" s="3" t="s">
        <v>530</v>
      </c>
      <c r="F50" s="3" t="s">
        <v>10</v>
      </c>
      <c r="G50" s="3" t="s">
        <v>525</v>
      </c>
      <c r="H50" s="3">
        <f>COUNTIF('Test Cases'!$C$7:$C$175,A50)</f>
        <v>2</v>
      </c>
      <c r="I50" s="3">
        <f>COUNTIFS('Test Cases'!$C$7:$C$175,A50,'Test Cases'!$O$7:$O$175,"Đạt")</f>
        <v>0</v>
      </c>
      <c r="J50" s="3" t="str">
        <f t="shared" si="1"/>
        <v>Chưa đóng</v>
      </c>
    </row>
    <row r="51" spans="1:10" ht="58.05" customHeight="1">
      <c r="A51" s="3" t="s">
        <v>533</v>
      </c>
      <c r="B51" s="3" t="s">
        <v>534</v>
      </c>
      <c r="C51" s="3" t="s">
        <v>1372</v>
      </c>
      <c r="D51" s="3" t="s">
        <v>1376</v>
      </c>
      <c r="E51" s="3" t="s">
        <v>537</v>
      </c>
      <c r="F51" s="3" t="s">
        <v>10</v>
      </c>
      <c r="G51" s="3" t="s">
        <v>532</v>
      </c>
      <c r="H51" s="3">
        <f>COUNTIF('Test Cases'!$C$7:$C$175,A51)</f>
        <v>2</v>
      </c>
      <c r="I51" s="3">
        <f>COUNTIFS('Test Cases'!$C$7:$C$175,A51,'Test Cases'!$O$7:$O$175,"Đạt")</f>
        <v>0</v>
      </c>
      <c r="J51" s="3" t="str">
        <f t="shared" si="1"/>
        <v>Chưa đóng</v>
      </c>
    </row>
    <row r="52" spans="1:10" ht="58.05" customHeight="1">
      <c r="A52" s="3" t="s">
        <v>540</v>
      </c>
      <c r="B52" s="3" t="s">
        <v>541</v>
      </c>
      <c r="C52" s="3" t="s">
        <v>1372</v>
      </c>
      <c r="D52" s="3" t="s">
        <v>1377</v>
      </c>
      <c r="E52" s="3" t="s">
        <v>544</v>
      </c>
      <c r="F52" s="3" t="s">
        <v>10</v>
      </c>
      <c r="G52" s="3" t="s">
        <v>539</v>
      </c>
      <c r="H52" s="3">
        <f>COUNTIF('Test Cases'!$C$7:$C$175,A52)</f>
        <v>2</v>
      </c>
      <c r="I52" s="3">
        <f>COUNTIFS('Test Cases'!$C$7:$C$175,A52,'Test Cases'!$O$7:$O$175,"Đạt")</f>
        <v>0</v>
      </c>
      <c r="J52" s="3" t="str">
        <f t="shared" si="1"/>
        <v>Chưa đóng</v>
      </c>
    </row>
    <row r="53" spans="1:10" ht="58.05" customHeight="1">
      <c r="A53" s="3" t="s">
        <v>547</v>
      </c>
      <c r="B53" s="3" t="s">
        <v>548</v>
      </c>
      <c r="C53" s="3" t="s">
        <v>1372</v>
      </c>
      <c r="D53" s="3" t="s">
        <v>1378</v>
      </c>
      <c r="E53" s="3" t="s">
        <v>551</v>
      </c>
      <c r="F53" s="3" t="s">
        <v>10</v>
      </c>
      <c r="G53" s="3" t="s">
        <v>546</v>
      </c>
      <c r="H53" s="3">
        <f>COUNTIF('Test Cases'!$C$7:$C$175,A53)</f>
        <v>2</v>
      </c>
      <c r="I53" s="3">
        <f>COUNTIFS('Test Cases'!$C$7:$C$175,A53,'Test Cases'!$O$7:$O$175,"Đạt")</f>
        <v>0</v>
      </c>
      <c r="J53" s="3" t="str">
        <f t="shared" si="1"/>
        <v>Chưa đóng</v>
      </c>
    </row>
    <row r="54" spans="1:10" ht="58.05" customHeight="1">
      <c r="A54" s="3" t="s">
        <v>554</v>
      </c>
      <c r="B54" s="3" t="s">
        <v>555</v>
      </c>
      <c r="C54" s="3" t="s">
        <v>1372</v>
      </c>
      <c r="D54" s="3" t="s">
        <v>1379</v>
      </c>
      <c r="E54" s="3" t="s">
        <v>558</v>
      </c>
      <c r="F54" s="3" t="s">
        <v>10</v>
      </c>
      <c r="G54" s="3" t="s">
        <v>553</v>
      </c>
      <c r="H54" s="3">
        <f>COUNTIF('Test Cases'!$C$7:$C$175,A54)</f>
        <v>1</v>
      </c>
      <c r="I54" s="3">
        <f>COUNTIFS('Test Cases'!$C$7:$C$175,A54,'Test Cases'!$O$7:$O$175,"Đạt")</f>
        <v>0</v>
      </c>
      <c r="J54" s="3" t="str">
        <f t="shared" si="1"/>
        <v>Chưa đóng</v>
      </c>
    </row>
    <row r="55" spans="1:10" ht="58.05" customHeight="1">
      <c r="A55" s="3" t="s">
        <v>561</v>
      </c>
      <c r="B55" s="3" t="s">
        <v>562</v>
      </c>
      <c r="C55" s="3" t="s">
        <v>1372</v>
      </c>
      <c r="D55" s="3" t="s">
        <v>1380</v>
      </c>
      <c r="E55" s="3" t="s">
        <v>565</v>
      </c>
      <c r="F55" s="3" t="s">
        <v>10</v>
      </c>
      <c r="G55" s="3" t="s">
        <v>560</v>
      </c>
      <c r="H55" s="3">
        <f>COUNTIF('Test Cases'!$C$7:$C$175,A55)</f>
        <v>1</v>
      </c>
      <c r="I55" s="3">
        <f>COUNTIFS('Test Cases'!$C$7:$C$175,A55,'Test Cases'!$O$7:$O$175,"Đạt")</f>
        <v>0</v>
      </c>
      <c r="J55" s="3" t="str">
        <f t="shared" si="1"/>
        <v>Chưa đóng</v>
      </c>
    </row>
    <row r="56" spans="1:10" ht="58.05" customHeight="1">
      <c r="A56" s="3" t="s">
        <v>568</v>
      </c>
      <c r="B56" s="3" t="s">
        <v>569</v>
      </c>
      <c r="C56" s="3" t="s">
        <v>1372</v>
      </c>
      <c r="D56" s="3" t="s">
        <v>1381</v>
      </c>
      <c r="E56" s="3" t="s">
        <v>572</v>
      </c>
      <c r="F56" s="3" t="s">
        <v>11</v>
      </c>
      <c r="G56" s="3" t="s">
        <v>567</v>
      </c>
      <c r="H56" s="3">
        <f>COUNTIF('Test Cases'!$C$7:$C$175,A56)</f>
        <v>1</v>
      </c>
      <c r="I56" s="3">
        <f>COUNTIFS('Test Cases'!$C$7:$C$175,A56,'Test Cases'!$O$7:$O$175,"Đạt")</f>
        <v>0</v>
      </c>
      <c r="J56" s="3" t="str">
        <f t="shared" si="1"/>
        <v>Chưa đóng</v>
      </c>
    </row>
    <row r="57" spans="1:10" ht="58.05" customHeight="1">
      <c r="A57" s="3" t="s">
        <v>575</v>
      </c>
      <c r="B57" s="3" t="s">
        <v>576</v>
      </c>
      <c r="C57" s="3" t="s">
        <v>1372</v>
      </c>
      <c r="D57" s="3" t="s">
        <v>1382</v>
      </c>
      <c r="E57" s="3" t="s">
        <v>579</v>
      </c>
      <c r="F57" s="3" t="s">
        <v>10</v>
      </c>
      <c r="G57" s="3" t="s">
        <v>574</v>
      </c>
      <c r="H57" s="3">
        <f>COUNTIF('Test Cases'!$C$7:$C$175,A57)</f>
        <v>2</v>
      </c>
      <c r="I57" s="3">
        <f>COUNTIFS('Test Cases'!$C$7:$C$175,A57,'Test Cases'!$O$7:$O$175,"Đạt")</f>
        <v>0</v>
      </c>
      <c r="J57" s="3" t="str">
        <f t="shared" si="1"/>
        <v>Chưa đóng</v>
      </c>
    </row>
    <row r="58" spans="1:10" ht="58.05" customHeight="1">
      <c r="A58" s="3" t="s">
        <v>582</v>
      </c>
      <c r="B58" s="3" t="s">
        <v>583</v>
      </c>
      <c r="C58" s="3" t="s">
        <v>1372</v>
      </c>
      <c r="D58" s="3" t="s">
        <v>1383</v>
      </c>
      <c r="E58" s="3" t="s">
        <v>586</v>
      </c>
      <c r="F58" s="3" t="s">
        <v>11</v>
      </c>
      <c r="G58" s="3" t="s">
        <v>581</v>
      </c>
      <c r="H58" s="3">
        <f>COUNTIF('Test Cases'!$C$7:$C$175,A58)</f>
        <v>1</v>
      </c>
      <c r="I58" s="3">
        <f>COUNTIFS('Test Cases'!$C$7:$C$175,A58,'Test Cases'!$O$7:$O$175,"Đạt")</f>
        <v>0</v>
      </c>
      <c r="J58" s="3" t="str">
        <f t="shared" si="1"/>
        <v>Chưa đóng</v>
      </c>
    </row>
    <row r="59" spans="1:10" ht="58.05" customHeight="1">
      <c r="A59" s="3" t="s">
        <v>589</v>
      </c>
      <c r="B59" s="3" t="s">
        <v>590</v>
      </c>
      <c r="C59" s="3" t="s">
        <v>1372</v>
      </c>
      <c r="D59" s="3" t="s">
        <v>1384</v>
      </c>
      <c r="E59" s="3" t="s">
        <v>593</v>
      </c>
      <c r="F59" s="3" t="s">
        <v>10</v>
      </c>
      <c r="G59" s="3" t="s">
        <v>588</v>
      </c>
      <c r="H59" s="3">
        <f>COUNTIF('Test Cases'!$C$7:$C$175,A59)</f>
        <v>1</v>
      </c>
      <c r="I59" s="3">
        <f>COUNTIFS('Test Cases'!$C$7:$C$175,A59,'Test Cases'!$O$7:$O$175,"Đạt")</f>
        <v>0</v>
      </c>
      <c r="J59" s="3" t="str">
        <f t="shared" si="1"/>
        <v>Chưa đóng</v>
      </c>
    </row>
    <row r="60" spans="1:10" ht="58.05" customHeight="1">
      <c r="A60" s="3" t="s">
        <v>596</v>
      </c>
      <c r="B60" s="3" t="s">
        <v>195</v>
      </c>
      <c r="C60" s="3" t="s">
        <v>1385</v>
      </c>
      <c r="D60" s="3" t="s">
        <v>1386</v>
      </c>
      <c r="E60" s="3" t="s">
        <v>601</v>
      </c>
      <c r="F60" s="3" t="s">
        <v>10</v>
      </c>
      <c r="G60" s="3" t="s">
        <v>595</v>
      </c>
      <c r="H60" s="3">
        <f>COUNTIF('Test Cases'!$C$7:$C$175,A60)</f>
        <v>1</v>
      </c>
      <c r="I60" s="3">
        <f>COUNTIFS('Test Cases'!$C$7:$C$175,A60,'Test Cases'!$O$7:$O$175,"Đạt")</f>
        <v>0</v>
      </c>
      <c r="J60" s="3" t="str">
        <f t="shared" si="1"/>
        <v>Chưa đóng</v>
      </c>
    </row>
    <row r="61" spans="1:10" ht="58.05" customHeight="1">
      <c r="A61" s="3" t="s">
        <v>604</v>
      </c>
      <c r="B61" s="3" t="s">
        <v>605</v>
      </c>
      <c r="C61" s="3" t="s">
        <v>1385</v>
      </c>
      <c r="D61" s="3" t="s">
        <v>1387</v>
      </c>
      <c r="E61" s="3" t="s">
        <v>608</v>
      </c>
      <c r="F61" s="3" t="s">
        <v>10</v>
      </c>
      <c r="G61" s="3" t="s">
        <v>603</v>
      </c>
      <c r="H61" s="3">
        <f>COUNTIF('Test Cases'!$C$7:$C$175,A61)</f>
        <v>2</v>
      </c>
      <c r="I61" s="3">
        <f>COUNTIFS('Test Cases'!$C$7:$C$175,A61,'Test Cases'!$O$7:$O$175,"Đạt")</f>
        <v>0</v>
      </c>
      <c r="J61" s="3" t="str">
        <f t="shared" si="1"/>
        <v>Chưa đóng</v>
      </c>
    </row>
    <row r="62" spans="1:10" ht="58.05" customHeight="1">
      <c r="A62" s="3" t="s">
        <v>611</v>
      </c>
      <c r="B62" s="3" t="s">
        <v>612</v>
      </c>
      <c r="C62" s="3" t="s">
        <v>1385</v>
      </c>
      <c r="D62" s="3" t="s">
        <v>1388</v>
      </c>
      <c r="E62" s="3" t="s">
        <v>615</v>
      </c>
      <c r="F62" s="3" t="s">
        <v>10</v>
      </c>
      <c r="G62" s="3" t="s">
        <v>610</v>
      </c>
      <c r="H62" s="3">
        <f>COUNTIF('Test Cases'!$C$7:$C$175,A62)</f>
        <v>1</v>
      </c>
      <c r="I62" s="3">
        <f>COUNTIFS('Test Cases'!$C$7:$C$175,A62,'Test Cases'!$O$7:$O$175,"Đạt")</f>
        <v>0</v>
      </c>
      <c r="J62" s="3" t="str">
        <f t="shared" si="1"/>
        <v>Chưa đóng</v>
      </c>
    </row>
    <row r="63" spans="1:10" ht="58.05" customHeight="1">
      <c r="A63" s="3" t="s">
        <v>618</v>
      </c>
      <c r="B63" s="3" t="s">
        <v>619</v>
      </c>
      <c r="C63" s="3" t="s">
        <v>1385</v>
      </c>
      <c r="D63" s="3" t="s">
        <v>1389</v>
      </c>
      <c r="E63" s="3" t="s">
        <v>622</v>
      </c>
      <c r="F63" s="3" t="s">
        <v>10</v>
      </c>
      <c r="G63" s="3" t="s">
        <v>617</v>
      </c>
      <c r="H63" s="3">
        <f>COUNTIF('Test Cases'!$C$7:$C$175,A63)</f>
        <v>3</v>
      </c>
      <c r="I63" s="3">
        <f>COUNTIFS('Test Cases'!$C$7:$C$175,A63,'Test Cases'!$O$7:$O$175,"Đạt")</f>
        <v>0</v>
      </c>
      <c r="J63" s="3" t="str">
        <f t="shared" si="1"/>
        <v>Chưa đóng</v>
      </c>
    </row>
    <row r="64" spans="1:10" ht="58.05" customHeight="1">
      <c r="A64" s="3" t="s">
        <v>625</v>
      </c>
      <c r="B64" s="3" t="s">
        <v>626</v>
      </c>
      <c r="C64" s="3" t="s">
        <v>1385</v>
      </c>
      <c r="D64" s="3" t="s">
        <v>1390</v>
      </c>
      <c r="E64" s="3" t="s">
        <v>629</v>
      </c>
      <c r="F64" s="3" t="s">
        <v>10</v>
      </c>
      <c r="G64" s="3" t="s">
        <v>624</v>
      </c>
      <c r="H64" s="3">
        <f>COUNTIF('Test Cases'!$C$7:$C$175,A64)</f>
        <v>2</v>
      </c>
      <c r="I64" s="3">
        <f>COUNTIFS('Test Cases'!$C$7:$C$175,A64,'Test Cases'!$O$7:$O$175,"Đạt")</f>
        <v>0</v>
      </c>
      <c r="J64" s="3" t="str">
        <f t="shared" si="1"/>
        <v>Chưa đóng</v>
      </c>
    </row>
    <row r="65" spans="1:10" ht="58.05" customHeight="1">
      <c r="A65" s="3" t="s">
        <v>632</v>
      </c>
      <c r="B65" s="3" t="s">
        <v>633</v>
      </c>
      <c r="C65" s="3" t="s">
        <v>1385</v>
      </c>
      <c r="D65" s="3" t="s">
        <v>1391</v>
      </c>
      <c r="E65" s="3" t="s">
        <v>636</v>
      </c>
      <c r="F65" s="3" t="s">
        <v>10</v>
      </c>
      <c r="G65" s="3" t="s">
        <v>631</v>
      </c>
      <c r="H65" s="3">
        <f>COUNTIF('Test Cases'!$C$7:$C$175,A65)</f>
        <v>1</v>
      </c>
      <c r="I65" s="3">
        <f>COUNTIFS('Test Cases'!$C$7:$C$175,A65,'Test Cases'!$O$7:$O$175,"Đạt")</f>
        <v>0</v>
      </c>
      <c r="J65" s="3" t="str">
        <f t="shared" si="1"/>
        <v>Chưa đóng</v>
      </c>
    </row>
    <row r="66" spans="1:10" ht="58.05" customHeight="1">
      <c r="A66" s="3" t="s">
        <v>639</v>
      </c>
      <c r="B66" s="3" t="s">
        <v>640</v>
      </c>
      <c r="C66" s="3" t="s">
        <v>1385</v>
      </c>
      <c r="D66" s="3" t="s">
        <v>1392</v>
      </c>
      <c r="E66" s="3" t="s">
        <v>643</v>
      </c>
      <c r="F66" s="3" t="s">
        <v>11</v>
      </c>
      <c r="G66" s="3" t="s">
        <v>638</v>
      </c>
      <c r="H66" s="3">
        <f>COUNTIF('Test Cases'!$C$7:$C$175,A66)</f>
        <v>2</v>
      </c>
      <c r="I66" s="3">
        <f>COUNTIFS('Test Cases'!$C$7:$C$175,A66,'Test Cases'!$O$7:$O$175,"Đạt")</f>
        <v>0</v>
      </c>
      <c r="J66" s="3" t="str">
        <f t="shared" si="1"/>
        <v>Chưa đóng</v>
      </c>
    </row>
    <row r="67" spans="1:10" ht="58.05" customHeight="1">
      <c r="A67" s="3" t="s">
        <v>646</v>
      </c>
      <c r="B67" s="3" t="s">
        <v>647</v>
      </c>
      <c r="C67" s="3" t="s">
        <v>1385</v>
      </c>
      <c r="D67" s="3" t="s">
        <v>1393</v>
      </c>
      <c r="E67" s="3" t="s">
        <v>650</v>
      </c>
      <c r="F67" s="3" t="s">
        <v>11</v>
      </c>
      <c r="G67" s="3" t="s">
        <v>645</v>
      </c>
      <c r="H67" s="3">
        <f>COUNTIF('Test Cases'!$C$7:$C$175,A67)</f>
        <v>1</v>
      </c>
      <c r="I67" s="3">
        <f>COUNTIFS('Test Cases'!$C$7:$C$175,A67,'Test Cases'!$O$7:$O$175,"Đạt")</f>
        <v>0</v>
      </c>
      <c r="J67" s="3" t="str">
        <f t="shared" si="1"/>
        <v>Chưa đóng</v>
      </c>
    </row>
    <row r="68" spans="1:10" ht="58.05" customHeight="1">
      <c r="A68" s="3" t="s">
        <v>653</v>
      </c>
      <c r="B68" s="3" t="s">
        <v>654</v>
      </c>
      <c r="C68" s="3" t="s">
        <v>1394</v>
      </c>
      <c r="D68" s="3" t="s">
        <v>1395</v>
      </c>
      <c r="E68" s="3" t="s">
        <v>659</v>
      </c>
      <c r="F68" s="3" t="s">
        <v>10</v>
      </c>
      <c r="G68" s="3" t="s">
        <v>652</v>
      </c>
      <c r="H68" s="3">
        <f>COUNTIF('Test Cases'!$C$7:$C$175,A68)</f>
        <v>2</v>
      </c>
      <c r="I68" s="3">
        <f>COUNTIFS('Test Cases'!$C$7:$C$175,A68,'Test Cases'!$O$7:$O$175,"Đạt")</f>
        <v>0</v>
      </c>
      <c r="J68" s="3" t="str">
        <f t="shared" si="1"/>
        <v>Chưa đóng</v>
      </c>
    </row>
    <row r="69" spans="1:10" ht="58.05" customHeight="1">
      <c r="A69" s="3" t="s">
        <v>662</v>
      </c>
      <c r="B69" s="3" t="s">
        <v>663</v>
      </c>
      <c r="C69" s="3" t="s">
        <v>1394</v>
      </c>
      <c r="D69" s="3" t="s">
        <v>1396</v>
      </c>
      <c r="E69" s="3" t="s">
        <v>666</v>
      </c>
      <c r="F69" s="3" t="s">
        <v>11</v>
      </c>
      <c r="G69" s="3" t="s">
        <v>661</v>
      </c>
      <c r="H69" s="3">
        <f>COUNTIF('Test Cases'!$C$7:$C$175,A69)</f>
        <v>1</v>
      </c>
      <c r="I69" s="3">
        <f>COUNTIFS('Test Cases'!$C$7:$C$175,A69,'Test Cases'!$O$7:$O$175,"Đạt")</f>
        <v>0</v>
      </c>
      <c r="J69" s="3" t="str">
        <f t="shared" si="1"/>
        <v>Chưa đóng</v>
      </c>
    </row>
    <row r="70" spans="1:10" ht="58.05" customHeight="1">
      <c r="A70" s="3" t="s">
        <v>669</v>
      </c>
      <c r="B70" s="3" t="s">
        <v>670</v>
      </c>
      <c r="C70" s="3" t="s">
        <v>1394</v>
      </c>
      <c r="D70" s="3" t="s">
        <v>1397</v>
      </c>
      <c r="E70" s="3" t="s">
        <v>673</v>
      </c>
      <c r="F70" s="3" t="s">
        <v>10</v>
      </c>
      <c r="G70" s="3" t="s">
        <v>668</v>
      </c>
      <c r="H70" s="3">
        <f>COUNTIF('Test Cases'!$C$7:$C$175,A70)</f>
        <v>1</v>
      </c>
      <c r="I70" s="3">
        <f>COUNTIFS('Test Cases'!$C$7:$C$175,A70,'Test Cases'!$O$7:$O$175,"Đạt")</f>
        <v>0</v>
      </c>
      <c r="J70" s="3" t="str">
        <f t="shared" ref="J70:J101" si="2">IF(H70=0,"Thiếu test case",IF(I70=H70,"Đã Đạt toàn bộ","Chưa đóng"))</f>
        <v>Chưa đóng</v>
      </c>
    </row>
    <row r="71" spans="1:10" ht="58.05" customHeight="1">
      <c r="A71" s="3" t="s">
        <v>676</v>
      </c>
      <c r="B71" s="3" t="s">
        <v>677</v>
      </c>
      <c r="C71" s="3" t="s">
        <v>1394</v>
      </c>
      <c r="D71" s="3" t="s">
        <v>1398</v>
      </c>
      <c r="E71" s="3" t="s">
        <v>680</v>
      </c>
      <c r="F71" s="3" t="s">
        <v>11</v>
      </c>
      <c r="G71" s="3" t="s">
        <v>675</v>
      </c>
      <c r="H71" s="3">
        <f>COUNTIF('Test Cases'!$C$7:$C$175,A71)</f>
        <v>1</v>
      </c>
      <c r="I71" s="3">
        <f>COUNTIFS('Test Cases'!$C$7:$C$175,A71,'Test Cases'!$O$7:$O$175,"Đạt")</f>
        <v>0</v>
      </c>
      <c r="J71" s="3" t="str">
        <f t="shared" si="2"/>
        <v>Chưa đóng</v>
      </c>
    </row>
    <row r="72" spans="1:10" ht="58.05" customHeight="1">
      <c r="A72" s="3" t="s">
        <v>683</v>
      </c>
      <c r="B72" s="3" t="s">
        <v>684</v>
      </c>
      <c r="C72" s="3" t="s">
        <v>1394</v>
      </c>
      <c r="D72" s="3" t="s">
        <v>1399</v>
      </c>
      <c r="E72" s="3" t="s">
        <v>687</v>
      </c>
      <c r="F72" s="3" t="s">
        <v>10</v>
      </c>
      <c r="G72" s="3" t="s">
        <v>682</v>
      </c>
      <c r="H72" s="3">
        <f>COUNTIF('Test Cases'!$C$7:$C$175,A72)</f>
        <v>1</v>
      </c>
      <c r="I72" s="3">
        <f>COUNTIFS('Test Cases'!$C$7:$C$175,A72,'Test Cases'!$O$7:$O$175,"Đạt")</f>
        <v>0</v>
      </c>
      <c r="J72" s="3" t="str">
        <f t="shared" si="2"/>
        <v>Chưa đóng</v>
      </c>
    </row>
    <row r="73" spans="1:10" ht="58.05" customHeight="1">
      <c r="A73" s="3" t="s">
        <v>690</v>
      </c>
      <c r="B73" s="3" t="s">
        <v>691</v>
      </c>
      <c r="C73" s="3" t="s">
        <v>1394</v>
      </c>
      <c r="D73" s="3" t="s">
        <v>1400</v>
      </c>
      <c r="E73" s="3" t="s">
        <v>694</v>
      </c>
      <c r="F73" s="3" t="s">
        <v>11</v>
      </c>
      <c r="G73" s="3" t="s">
        <v>689</v>
      </c>
      <c r="H73" s="3">
        <f>COUNTIF('Test Cases'!$C$7:$C$175,A73)</f>
        <v>1</v>
      </c>
      <c r="I73" s="3">
        <f>COUNTIFS('Test Cases'!$C$7:$C$175,A73,'Test Cases'!$O$7:$O$175,"Đạt")</f>
        <v>0</v>
      </c>
      <c r="J73" s="3" t="str">
        <f t="shared" si="2"/>
        <v>Chưa đóng</v>
      </c>
    </row>
    <row r="74" spans="1:10" ht="58.05" customHeight="1">
      <c r="A74" s="3" t="s">
        <v>697</v>
      </c>
      <c r="B74" s="3" t="s">
        <v>698</v>
      </c>
      <c r="C74" s="3" t="s">
        <v>1394</v>
      </c>
      <c r="D74" s="3" t="s">
        <v>1401</v>
      </c>
      <c r="E74" s="3" t="s">
        <v>701</v>
      </c>
      <c r="F74" s="3" t="s">
        <v>10</v>
      </c>
      <c r="G74" s="3" t="s">
        <v>696</v>
      </c>
      <c r="H74" s="3">
        <f>COUNTIF('Test Cases'!$C$7:$C$175,A74)</f>
        <v>2</v>
      </c>
      <c r="I74" s="3">
        <f>COUNTIFS('Test Cases'!$C$7:$C$175,A74,'Test Cases'!$O$7:$O$175,"Đạt")</f>
        <v>0</v>
      </c>
      <c r="J74" s="3" t="str">
        <f t="shared" si="2"/>
        <v>Chưa đóng</v>
      </c>
    </row>
    <row r="75" spans="1:10" ht="58.05" customHeight="1">
      <c r="A75" s="3" t="s">
        <v>704</v>
      </c>
      <c r="B75" s="3" t="s">
        <v>705</v>
      </c>
      <c r="C75" s="3" t="s">
        <v>1394</v>
      </c>
      <c r="D75" s="3" t="s">
        <v>1402</v>
      </c>
      <c r="E75" s="3" t="s">
        <v>708</v>
      </c>
      <c r="F75" s="3" t="s">
        <v>10</v>
      </c>
      <c r="G75" s="3" t="s">
        <v>703</v>
      </c>
      <c r="H75" s="3">
        <f>COUNTIF('Test Cases'!$C$7:$C$175,A75)</f>
        <v>2</v>
      </c>
      <c r="I75" s="3">
        <f>COUNTIFS('Test Cases'!$C$7:$C$175,A75,'Test Cases'!$O$7:$O$175,"Đạt")</f>
        <v>0</v>
      </c>
      <c r="J75" s="3" t="str">
        <f t="shared" si="2"/>
        <v>Chưa đóng</v>
      </c>
    </row>
    <row r="76" spans="1:10" ht="58.05" customHeight="1">
      <c r="A76" s="3" t="s">
        <v>711</v>
      </c>
      <c r="B76" s="3" t="s">
        <v>712</v>
      </c>
      <c r="C76" s="3" t="s">
        <v>1394</v>
      </c>
      <c r="D76" s="3" t="s">
        <v>1403</v>
      </c>
      <c r="E76" s="3" t="s">
        <v>715</v>
      </c>
      <c r="F76" s="3" t="s">
        <v>11</v>
      </c>
      <c r="G76" s="3" t="s">
        <v>710</v>
      </c>
      <c r="H76" s="3">
        <f>COUNTIF('Test Cases'!$C$7:$C$175,A76)</f>
        <v>1</v>
      </c>
      <c r="I76" s="3">
        <f>COUNTIFS('Test Cases'!$C$7:$C$175,A76,'Test Cases'!$O$7:$O$175,"Đạt")</f>
        <v>0</v>
      </c>
      <c r="J76" s="3" t="str">
        <f t="shared" si="2"/>
        <v>Chưa đóng</v>
      </c>
    </row>
    <row r="77" spans="1:10" ht="58.05" customHeight="1">
      <c r="A77" s="3" t="s">
        <v>718</v>
      </c>
      <c r="B77" s="3" t="s">
        <v>719</v>
      </c>
      <c r="C77" s="3" t="s">
        <v>1394</v>
      </c>
      <c r="D77" s="3" t="s">
        <v>1404</v>
      </c>
      <c r="E77" s="3" t="s">
        <v>722</v>
      </c>
      <c r="F77" s="3" t="s">
        <v>10</v>
      </c>
      <c r="G77" s="3" t="s">
        <v>717</v>
      </c>
      <c r="H77" s="3">
        <f>COUNTIF('Test Cases'!$C$7:$C$175,A77)</f>
        <v>2</v>
      </c>
      <c r="I77" s="3">
        <f>COUNTIFS('Test Cases'!$C$7:$C$175,A77,'Test Cases'!$O$7:$O$175,"Đạt")</f>
        <v>0</v>
      </c>
      <c r="J77" s="3" t="str">
        <f t="shared" si="2"/>
        <v>Chưa đóng</v>
      </c>
    </row>
    <row r="78" spans="1:10" ht="58.05" customHeight="1">
      <c r="A78" s="3" t="s">
        <v>725</v>
      </c>
      <c r="B78" s="3" t="s">
        <v>726</v>
      </c>
      <c r="C78" s="3" t="s">
        <v>1394</v>
      </c>
      <c r="D78" s="3" t="s">
        <v>1405</v>
      </c>
      <c r="E78" s="3" t="s">
        <v>729</v>
      </c>
      <c r="F78" s="3" t="s">
        <v>11</v>
      </c>
      <c r="G78" s="3" t="s">
        <v>724</v>
      </c>
      <c r="H78" s="3">
        <f>COUNTIF('Test Cases'!$C$7:$C$175,A78)</f>
        <v>1</v>
      </c>
      <c r="I78" s="3">
        <f>COUNTIFS('Test Cases'!$C$7:$C$175,A78,'Test Cases'!$O$7:$O$175,"Đạt")</f>
        <v>0</v>
      </c>
      <c r="J78" s="3" t="str">
        <f t="shared" si="2"/>
        <v>Chưa đóng</v>
      </c>
    </row>
    <row r="79" spans="1:10" ht="58.05" customHeight="1">
      <c r="A79" s="3" t="s">
        <v>732</v>
      </c>
      <c r="B79" s="3" t="s">
        <v>228</v>
      </c>
      <c r="C79" s="3" t="s">
        <v>1406</v>
      </c>
      <c r="D79" s="3" t="s">
        <v>1407</v>
      </c>
      <c r="E79" s="3" t="s">
        <v>739</v>
      </c>
      <c r="F79" s="3" t="s">
        <v>10</v>
      </c>
      <c r="G79" s="3" t="s">
        <v>731</v>
      </c>
      <c r="H79" s="3">
        <f>COUNTIF('Test Cases'!$C$7:$C$175,A79)</f>
        <v>1</v>
      </c>
      <c r="I79" s="3">
        <f>COUNTIFS('Test Cases'!$C$7:$C$175,A79,'Test Cases'!$O$7:$O$175,"Đạt")</f>
        <v>0</v>
      </c>
      <c r="J79" s="3" t="str">
        <f t="shared" si="2"/>
        <v>Chưa đóng</v>
      </c>
    </row>
    <row r="80" spans="1:10" ht="58.05" customHeight="1">
      <c r="A80" s="3" t="s">
        <v>742</v>
      </c>
      <c r="B80" s="3" t="s">
        <v>240</v>
      </c>
      <c r="C80" s="3" t="s">
        <v>1406</v>
      </c>
      <c r="D80" s="3" t="s">
        <v>1408</v>
      </c>
      <c r="E80" s="3" t="s">
        <v>746</v>
      </c>
      <c r="F80" s="3" t="s">
        <v>10</v>
      </c>
      <c r="G80" s="3" t="s">
        <v>741</v>
      </c>
      <c r="H80" s="3">
        <f>COUNTIF('Test Cases'!$C$7:$C$175,A80)</f>
        <v>2</v>
      </c>
      <c r="I80" s="3">
        <f>COUNTIFS('Test Cases'!$C$7:$C$175,A80,'Test Cases'!$O$7:$O$175,"Đạt")</f>
        <v>0</v>
      </c>
      <c r="J80" s="3" t="str">
        <f t="shared" si="2"/>
        <v>Chưa đóng</v>
      </c>
    </row>
    <row r="81" spans="1:10" ht="58.05" customHeight="1">
      <c r="A81" s="3" t="s">
        <v>749</v>
      </c>
      <c r="B81" s="3" t="s">
        <v>247</v>
      </c>
      <c r="C81" s="3" t="s">
        <v>1406</v>
      </c>
      <c r="D81" s="3" t="s">
        <v>1409</v>
      </c>
      <c r="E81" s="3" t="s">
        <v>752</v>
      </c>
      <c r="F81" s="3" t="s">
        <v>10</v>
      </c>
      <c r="G81" s="3" t="s">
        <v>748</v>
      </c>
      <c r="H81" s="3">
        <f>COUNTIF('Test Cases'!$C$7:$C$175,A81)</f>
        <v>1</v>
      </c>
      <c r="I81" s="3">
        <f>COUNTIFS('Test Cases'!$C$7:$C$175,A81,'Test Cases'!$O$7:$O$175,"Đạt")</f>
        <v>0</v>
      </c>
      <c r="J81" s="3" t="str">
        <f t="shared" si="2"/>
        <v>Chưa đóng</v>
      </c>
    </row>
    <row r="82" spans="1:10" ht="58.05" customHeight="1">
      <c r="A82" s="3" t="s">
        <v>755</v>
      </c>
      <c r="B82" s="3" t="s">
        <v>255</v>
      </c>
      <c r="C82" s="3" t="s">
        <v>1406</v>
      </c>
      <c r="D82" s="3" t="s">
        <v>1410</v>
      </c>
      <c r="E82" s="3" t="s">
        <v>758</v>
      </c>
      <c r="F82" s="3" t="s">
        <v>10</v>
      </c>
      <c r="G82" s="3" t="s">
        <v>754</v>
      </c>
      <c r="H82" s="3">
        <f>COUNTIF('Test Cases'!$C$7:$C$175,A82)</f>
        <v>2</v>
      </c>
      <c r="I82" s="3">
        <f>COUNTIFS('Test Cases'!$C$7:$C$175,A82,'Test Cases'!$O$7:$O$175,"Đạt")</f>
        <v>0</v>
      </c>
      <c r="J82" s="3" t="str">
        <f t="shared" si="2"/>
        <v>Chưa đóng</v>
      </c>
    </row>
    <row r="83" spans="1:10" ht="58.05" customHeight="1">
      <c r="A83" s="3" t="s">
        <v>761</v>
      </c>
      <c r="B83" s="3" t="s">
        <v>262</v>
      </c>
      <c r="C83" s="3" t="s">
        <v>1406</v>
      </c>
      <c r="D83" s="3" t="s">
        <v>1411</v>
      </c>
      <c r="E83" s="3" t="s">
        <v>764</v>
      </c>
      <c r="F83" s="3" t="s">
        <v>10</v>
      </c>
      <c r="G83" s="3" t="s">
        <v>760</v>
      </c>
      <c r="H83" s="3">
        <f>COUNTIF('Test Cases'!$C$7:$C$175,A83)</f>
        <v>1</v>
      </c>
      <c r="I83" s="3">
        <f>COUNTIFS('Test Cases'!$C$7:$C$175,A83,'Test Cases'!$O$7:$O$175,"Đạt")</f>
        <v>0</v>
      </c>
      <c r="J83" s="3" t="str">
        <f t="shared" si="2"/>
        <v>Chưa đóng</v>
      </c>
    </row>
    <row r="84" spans="1:10" ht="58.05" customHeight="1">
      <c r="A84" s="3" t="s">
        <v>767</v>
      </c>
      <c r="B84" s="3" t="s">
        <v>269</v>
      </c>
      <c r="C84" s="3" t="s">
        <v>1406</v>
      </c>
      <c r="D84" s="3" t="s">
        <v>1412</v>
      </c>
      <c r="E84" s="3" t="s">
        <v>770</v>
      </c>
      <c r="F84" s="3" t="s">
        <v>11</v>
      </c>
      <c r="G84" s="3" t="s">
        <v>766</v>
      </c>
      <c r="H84" s="3">
        <f>COUNTIF('Test Cases'!$C$7:$C$175,A84)</f>
        <v>1</v>
      </c>
      <c r="I84" s="3">
        <f>COUNTIFS('Test Cases'!$C$7:$C$175,A84,'Test Cases'!$O$7:$O$175,"Đạt")</f>
        <v>0</v>
      </c>
      <c r="J84" s="3" t="str">
        <f t="shared" si="2"/>
        <v>Chưa đóng</v>
      </c>
    </row>
    <row r="85" spans="1:10" ht="58.05" customHeight="1">
      <c r="A85" s="3" t="s">
        <v>773</v>
      </c>
      <c r="B85" s="3" t="s">
        <v>276</v>
      </c>
      <c r="C85" s="3" t="s">
        <v>1406</v>
      </c>
      <c r="D85" s="3" t="s">
        <v>1413</v>
      </c>
      <c r="E85" s="3" t="s">
        <v>776</v>
      </c>
      <c r="F85" s="3" t="s">
        <v>11</v>
      </c>
      <c r="G85" s="3" t="s">
        <v>772</v>
      </c>
      <c r="H85" s="3">
        <f>COUNTIF('Test Cases'!$C$7:$C$175,A85)</f>
        <v>1</v>
      </c>
      <c r="I85" s="3">
        <f>COUNTIFS('Test Cases'!$C$7:$C$175,A85,'Test Cases'!$O$7:$O$175,"Đạt")</f>
        <v>0</v>
      </c>
      <c r="J85" s="3" t="str">
        <f t="shared" si="2"/>
        <v>Chưa đóng</v>
      </c>
    </row>
    <row r="86" spans="1:10" ht="58.05" customHeight="1">
      <c r="A86" s="3" t="s">
        <v>779</v>
      </c>
      <c r="B86" s="3" t="s">
        <v>284</v>
      </c>
      <c r="C86" s="3" t="s">
        <v>1406</v>
      </c>
      <c r="D86" s="3" t="s">
        <v>1414</v>
      </c>
      <c r="E86" s="3" t="s">
        <v>782</v>
      </c>
      <c r="F86" s="3" t="s">
        <v>10</v>
      </c>
      <c r="G86" s="3" t="s">
        <v>778</v>
      </c>
      <c r="H86" s="3">
        <f>COUNTIF('Test Cases'!$C$7:$C$175,A86)</f>
        <v>2</v>
      </c>
      <c r="I86" s="3">
        <f>COUNTIFS('Test Cases'!$C$7:$C$175,A86,'Test Cases'!$O$7:$O$175,"Đạt")</f>
        <v>0</v>
      </c>
      <c r="J86" s="3" t="str">
        <f t="shared" si="2"/>
        <v>Chưa đóng</v>
      </c>
    </row>
    <row r="87" spans="1:10" ht="58.05" customHeight="1">
      <c r="A87" s="3" t="s">
        <v>785</v>
      </c>
      <c r="B87" s="3" t="s">
        <v>786</v>
      </c>
      <c r="C87" s="3" t="s">
        <v>1415</v>
      </c>
      <c r="D87" s="3" t="s">
        <v>1416</v>
      </c>
      <c r="E87" s="3" t="s">
        <v>793</v>
      </c>
      <c r="F87" s="3" t="s">
        <v>10</v>
      </c>
      <c r="G87" s="3" t="s">
        <v>784</v>
      </c>
      <c r="H87" s="3">
        <f>COUNTIF('Test Cases'!$C$7:$C$175,A87)</f>
        <v>1</v>
      </c>
      <c r="I87" s="3">
        <f>COUNTIFS('Test Cases'!$C$7:$C$175,A87,'Test Cases'!$O$7:$O$175,"Đạt")</f>
        <v>0</v>
      </c>
      <c r="J87" s="3" t="str">
        <f t="shared" si="2"/>
        <v>Chưa đóng</v>
      </c>
    </row>
    <row r="88" spans="1:10" ht="58.05" customHeight="1">
      <c r="A88" s="3" t="s">
        <v>796</v>
      </c>
      <c r="B88" s="3" t="s">
        <v>797</v>
      </c>
      <c r="C88" s="3" t="s">
        <v>1415</v>
      </c>
      <c r="D88" s="3" t="s">
        <v>1417</v>
      </c>
      <c r="E88" s="3" t="s">
        <v>800</v>
      </c>
      <c r="F88" s="3" t="s">
        <v>10</v>
      </c>
      <c r="G88" s="3" t="s">
        <v>795</v>
      </c>
      <c r="H88" s="3">
        <f>COUNTIF('Test Cases'!$C$7:$C$175,A88)</f>
        <v>1</v>
      </c>
      <c r="I88" s="3">
        <f>COUNTIFS('Test Cases'!$C$7:$C$175,A88,'Test Cases'!$O$7:$O$175,"Đạt")</f>
        <v>0</v>
      </c>
      <c r="J88" s="3" t="str">
        <f t="shared" si="2"/>
        <v>Chưa đóng</v>
      </c>
    </row>
    <row r="89" spans="1:10" ht="58.05" customHeight="1">
      <c r="A89" s="3" t="s">
        <v>803</v>
      </c>
      <c r="B89" s="3" t="s">
        <v>804</v>
      </c>
      <c r="C89" s="3" t="s">
        <v>1415</v>
      </c>
      <c r="D89" s="3" t="s">
        <v>1418</v>
      </c>
      <c r="E89" s="3" t="s">
        <v>807</v>
      </c>
      <c r="F89" s="3" t="s">
        <v>11</v>
      </c>
      <c r="G89" s="3" t="s">
        <v>802</v>
      </c>
      <c r="H89" s="3">
        <f>COUNTIF('Test Cases'!$C$7:$C$175,A89)</f>
        <v>4</v>
      </c>
      <c r="I89" s="3">
        <f>COUNTIFS('Test Cases'!$C$7:$C$175,A89,'Test Cases'!$O$7:$O$175,"Đạt")</f>
        <v>0</v>
      </c>
      <c r="J89" s="3" t="str">
        <f t="shared" si="2"/>
        <v>Chưa đóng</v>
      </c>
    </row>
    <row r="90" spans="1:10" ht="58.05" customHeight="1">
      <c r="A90" s="3" t="s">
        <v>810</v>
      </c>
      <c r="B90" s="3" t="s">
        <v>811</v>
      </c>
      <c r="C90" s="3" t="s">
        <v>1415</v>
      </c>
      <c r="D90" s="3" t="s">
        <v>1419</v>
      </c>
      <c r="E90" s="3" t="s">
        <v>814</v>
      </c>
      <c r="F90" s="3" t="s">
        <v>11</v>
      </c>
      <c r="G90" s="3" t="s">
        <v>809</v>
      </c>
      <c r="H90" s="3">
        <f>COUNTIF('Test Cases'!$C$7:$C$175,A90)</f>
        <v>1</v>
      </c>
      <c r="I90" s="3">
        <f>COUNTIFS('Test Cases'!$C$7:$C$175,A90,'Test Cases'!$O$7:$O$175,"Đạt")</f>
        <v>0</v>
      </c>
      <c r="J90" s="3" t="str">
        <f t="shared" si="2"/>
        <v>Chưa đóng</v>
      </c>
    </row>
    <row r="91" spans="1:10" ht="58.05" customHeight="1">
      <c r="A91" s="3" t="s">
        <v>817</v>
      </c>
      <c r="B91" s="3" t="s">
        <v>818</v>
      </c>
      <c r="C91" s="3" t="s">
        <v>1415</v>
      </c>
      <c r="D91" s="3" t="s">
        <v>1420</v>
      </c>
      <c r="E91" s="3" t="s">
        <v>821</v>
      </c>
      <c r="F91" s="3" t="s">
        <v>10</v>
      </c>
      <c r="G91" s="3" t="s">
        <v>816</v>
      </c>
      <c r="H91" s="3">
        <f>COUNTIF('Test Cases'!$C$7:$C$175,A91)</f>
        <v>1</v>
      </c>
      <c r="I91" s="3">
        <f>COUNTIFS('Test Cases'!$C$7:$C$175,A91,'Test Cases'!$O$7:$O$175,"Đạt")</f>
        <v>0</v>
      </c>
      <c r="J91" s="3" t="str">
        <f t="shared" si="2"/>
        <v>Chưa đóng</v>
      </c>
    </row>
    <row r="92" spans="1:10" ht="58.05" customHeight="1">
      <c r="A92" s="3" t="s">
        <v>824</v>
      </c>
      <c r="B92" s="3" t="s">
        <v>825</v>
      </c>
      <c r="C92" s="3" t="s">
        <v>1415</v>
      </c>
      <c r="D92" s="3" t="s">
        <v>1421</v>
      </c>
      <c r="E92" s="3" t="s">
        <v>828</v>
      </c>
      <c r="F92" s="3" t="s">
        <v>11</v>
      </c>
      <c r="G92" s="3" t="s">
        <v>823</v>
      </c>
      <c r="H92" s="3">
        <f>COUNTIF('Test Cases'!$C$7:$C$175,A92)</f>
        <v>4</v>
      </c>
      <c r="I92" s="3">
        <f>COUNTIFS('Test Cases'!$C$7:$C$175,A92,'Test Cases'!$O$7:$O$175,"Đạt")</f>
        <v>0</v>
      </c>
      <c r="J92" s="3" t="str">
        <f t="shared" si="2"/>
        <v>Chưa đóng</v>
      </c>
    </row>
    <row r="93" spans="1:10" ht="58.05" customHeight="1">
      <c r="A93" s="3" t="s">
        <v>831</v>
      </c>
      <c r="B93" s="3" t="s">
        <v>832</v>
      </c>
      <c r="C93" s="3" t="s">
        <v>1415</v>
      </c>
      <c r="D93" s="3" t="s">
        <v>1422</v>
      </c>
      <c r="E93" s="3" t="s">
        <v>835</v>
      </c>
      <c r="F93" s="3" t="s">
        <v>11</v>
      </c>
      <c r="G93" s="3" t="s">
        <v>830</v>
      </c>
      <c r="H93" s="3">
        <f>COUNTIF('Test Cases'!$C$7:$C$175,A93)</f>
        <v>1</v>
      </c>
      <c r="I93" s="3">
        <f>COUNTIFS('Test Cases'!$C$7:$C$175,A93,'Test Cases'!$O$7:$O$175,"Đạt")</f>
        <v>0</v>
      </c>
      <c r="J93" s="3" t="str">
        <f t="shared" si="2"/>
        <v>Chưa đóng</v>
      </c>
    </row>
    <row r="94" spans="1:10" ht="58.05" customHeight="1">
      <c r="A94" s="3" t="s">
        <v>838</v>
      </c>
      <c r="B94" s="3" t="s">
        <v>839</v>
      </c>
      <c r="C94" s="3" t="s">
        <v>1415</v>
      </c>
      <c r="D94" s="3" t="s">
        <v>1423</v>
      </c>
      <c r="E94" s="3" t="s">
        <v>842</v>
      </c>
      <c r="F94" s="3" t="s">
        <v>10</v>
      </c>
      <c r="G94" s="3" t="s">
        <v>837</v>
      </c>
      <c r="H94" s="3">
        <f>COUNTIF('Test Cases'!$C$7:$C$175,A94)</f>
        <v>2</v>
      </c>
      <c r="I94" s="3">
        <f>COUNTIFS('Test Cases'!$C$7:$C$175,A94,'Test Cases'!$O$7:$O$175,"Đạt")</f>
        <v>0</v>
      </c>
      <c r="J94" s="3" t="str">
        <f t="shared" si="2"/>
        <v>Chưa đóng</v>
      </c>
    </row>
    <row r="95" spans="1:10" ht="58.05" customHeight="1">
      <c r="A95" s="3" t="s">
        <v>845</v>
      </c>
      <c r="B95" s="3" t="s">
        <v>846</v>
      </c>
      <c r="C95" s="3" t="s">
        <v>1415</v>
      </c>
      <c r="D95" s="3" t="s">
        <v>1424</v>
      </c>
      <c r="E95" s="3" t="s">
        <v>849</v>
      </c>
      <c r="F95" s="3" t="s">
        <v>11</v>
      </c>
      <c r="G95" s="3" t="s">
        <v>844</v>
      </c>
      <c r="H95" s="3">
        <f>COUNTIF('Test Cases'!$C$7:$C$175,A95)</f>
        <v>2</v>
      </c>
      <c r="I95" s="3">
        <f>COUNTIFS('Test Cases'!$C$7:$C$175,A95,'Test Cases'!$O$7:$O$175,"Đạt")</f>
        <v>0</v>
      </c>
      <c r="J95" s="3" t="str">
        <f t="shared" si="2"/>
        <v>Chưa đóng</v>
      </c>
    </row>
    <row r="96" spans="1:10" ht="58.05" customHeight="1">
      <c r="A96" s="3" t="s">
        <v>852</v>
      </c>
      <c r="B96" s="3" t="s">
        <v>853</v>
      </c>
      <c r="C96" s="3" t="s">
        <v>1425</v>
      </c>
      <c r="D96" s="3" t="s">
        <v>1426</v>
      </c>
      <c r="E96" s="3" t="s">
        <v>859</v>
      </c>
      <c r="F96" s="3" t="s">
        <v>10</v>
      </c>
      <c r="G96" s="3" t="s">
        <v>851</v>
      </c>
      <c r="H96" s="3">
        <f>COUNTIF('Test Cases'!$C$7:$C$175,A96)</f>
        <v>2</v>
      </c>
      <c r="I96" s="3">
        <f>COUNTIFS('Test Cases'!$C$7:$C$175,A96,'Test Cases'!$O$7:$O$175,"Đạt")</f>
        <v>0</v>
      </c>
      <c r="J96" s="3" t="str">
        <f t="shared" si="2"/>
        <v>Chưa đóng</v>
      </c>
    </row>
    <row r="97" spans="1:10" ht="58.05" customHeight="1">
      <c r="A97" s="3" t="s">
        <v>862</v>
      </c>
      <c r="B97" s="3" t="s">
        <v>863</v>
      </c>
      <c r="C97" s="3" t="s">
        <v>1425</v>
      </c>
      <c r="D97" s="3" t="s">
        <v>1427</v>
      </c>
      <c r="E97" s="3" t="s">
        <v>866</v>
      </c>
      <c r="F97" s="3" t="s">
        <v>11</v>
      </c>
      <c r="G97" s="3" t="s">
        <v>861</v>
      </c>
      <c r="H97" s="3">
        <f>COUNTIF('Test Cases'!$C$7:$C$175,A97)</f>
        <v>1</v>
      </c>
      <c r="I97" s="3">
        <f>COUNTIFS('Test Cases'!$C$7:$C$175,A97,'Test Cases'!$O$7:$O$175,"Đạt")</f>
        <v>0</v>
      </c>
      <c r="J97" s="3" t="str">
        <f t="shared" si="2"/>
        <v>Chưa đóng</v>
      </c>
    </row>
    <row r="98" spans="1:10" ht="58.05" customHeight="1">
      <c r="A98" s="3" t="s">
        <v>869</v>
      </c>
      <c r="B98" s="3" t="s">
        <v>870</v>
      </c>
      <c r="C98" s="3" t="s">
        <v>1425</v>
      </c>
      <c r="D98" s="3" t="s">
        <v>1428</v>
      </c>
      <c r="E98" s="3" t="s">
        <v>873</v>
      </c>
      <c r="F98" s="3" t="s">
        <v>10</v>
      </c>
      <c r="G98" s="3" t="s">
        <v>868</v>
      </c>
      <c r="H98" s="3">
        <f>COUNTIF('Test Cases'!$C$7:$C$175,A98)</f>
        <v>1</v>
      </c>
      <c r="I98" s="3">
        <f>COUNTIFS('Test Cases'!$C$7:$C$175,A98,'Test Cases'!$O$7:$O$175,"Đạt")</f>
        <v>0</v>
      </c>
      <c r="J98" s="3" t="str">
        <f t="shared" si="2"/>
        <v>Chưa đóng</v>
      </c>
    </row>
    <row r="99" spans="1:10" ht="58.05" customHeight="1">
      <c r="A99" s="3" t="s">
        <v>876</v>
      </c>
      <c r="B99" s="3" t="s">
        <v>877</v>
      </c>
      <c r="C99" s="3" t="s">
        <v>1425</v>
      </c>
      <c r="D99" s="3" t="s">
        <v>1429</v>
      </c>
      <c r="E99" s="3" t="s">
        <v>880</v>
      </c>
      <c r="F99" s="3" t="s">
        <v>10</v>
      </c>
      <c r="G99" s="3" t="s">
        <v>875</v>
      </c>
      <c r="H99" s="3">
        <f>COUNTIF('Test Cases'!$C$7:$C$175,A99)</f>
        <v>2</v>
      </c>
      <c r="I99" s="3">
        <f>COUNTIFS('Test Cases'!$C$7:$C$175,A99,'Test Cases'!$O$7:$O$175,"Đạt")</f>
        <v>0</v>
      </c>
      <c r="J99" s="3" t="str">
        <f t="shared" si="2"/>
        <v>Chưa đóng</v>
      </c>
    </row>
    <row r="100" spans="1:10" ht="58.05" customHeight="1">
      <c r="A100" s="3" t="s">
        <v>883</v>
      </c>
      <c r="B100" s="3" t="s">
        <v>884</v>
      </c>
      <c r="C100" s="3" t="s">
        <v>1425</v>
      </c>
      <c r="D100" s="3" t="s">
        <v>1430</v>
      </c>
      <c r="E100" s="3" t="s">
        <v>887</v>
      </c>
      <c r="F100" s="3" t="s">
        <v>11</v>
      </c>
      <c r="G100" s="3" t="s">
        <v>882</v>
      </c>
      <c r="H100" s="3">
        <f>COUNTIF('Test Cases'!$C$7:$C$175,A100)</f>
        <v>1</v>
      </c>
      <c r="I100" s="3">
        <f>COUNTIFS('Test Cases'!$C$7:$C$175,A100,'Test Cases'!$O$7:$O$175,"Đạt")</f>
        <v>0</v>
      </c>
      <c r="J100" s="3" t="str">
        <f t="shared" si="2"/>
        <v>Chưa đóng</v>
      </c>
    </row>
    <row r="101" spans="1:10" ht="58.05" customHeight="1">
      <c r="A101" s="3" t="s">
        <v>890</v>
      </c>
      <c r="B101" s="3" t="s">
        <v>891</v>
      </c>
      <c r="C101" s="3" t="s">
        <v>1425</v>
      </c>
      <c r="D101" s="3" t="s">
        <v>1431</v>
      </c>
      <c r="E101" s="3" t="s">
        <v>894</v>
      </c>
      <c r="F101" s="3" t="s">
        <v>11</v>
      </c>
      <c r="G101" s="3" t="s">
        <v>889</v>
      </c>
      <c r="H101" s="3">
        <f>COUNTIF('Test Cases'!$C$7:$C$175,A101)</f>
        <v>1</v>
      </c>
      <c r="I101" s="3">
        <f>COUNTIFS('Test Cases'!$C$7:$C$175,A101,'Test Cases'!$O$7:$O$175,"Đạt")</f>
        <v>0</v>
      </c>
      <c r="J101" s="3" t="str">
        <f t="shared" si="2"/>
        <v>Chưa đóng</v>
      </c>
    </row>
    <row r="102" spans="1:10" ht="58.05" customHeight="1">
      <c r="A102" s="3" t="s">
        <v>897</v>
      </c>
      <c r="B102" s="3" t="s">
        <v>898</v>
      </c>
      <c r="C102" s="3" t="s">
        <v>1425</v>
      </c>
      <c r="D102" s="3" t="s">
        <v>1432</v>
      </c>
      <c r="E102" s="3" t="s">
        <v>901</v>
      </c>
      <c r="F102" s="3" t="s">
        <v>10</v>
      </c>
      <c r="G102" s="3" t="s">
        <v>896</v>
      </c>
      <c r="H102" s="3">
        <f>COUNTIF('Test Cases'!$C$7:$C$175,A102)</f>
        <v>2</v>
      </c>
      <c r="I102" s="3">
        <f>COUNTIFS('Test Cases'!$C$7:$C$175,A102,'Test Cases'!$O$7:$O$175,"Đạt")</f>
        <v>0</v>
      </c>
      <c r="J102" s="3" t="str">
        <f t="shared" ref="J102:J133" si="3">IF(H102=0,"Thiếu test case",IF(I102=H102,"Đã Đạt toàn bộ","Chưa đóng"))</f>
        <v>Chưa đóng</v>
      </c>
    </row>
    <row r="103" spans="1:10" ht="58.05" customHeight="1">
      <c r="A103" s="3" t="s">
        <v>904</v>
      </c>
      <c r="B103" s="3" t="s">
        <v>905</v>
      </c>
      <c r="C103" s="3" t="s">
        <v>1425</v>
      </c>
      <c r="D103" s="3" t="s">
        <v>1433</v>
      </c>
      <c r="E103" s="3" t="s">
        <v>908</v>
      </c>
      <c r="F103" s="3" t="s">
        <v>10</v>
      </c>
      <c r="G103" s="3" t="s">
        <v>903</v>
      </c>
      <c r="H103" s="3">
        <f>COUNTIF('Test Cases'!$C$7:$C$175,A103)</f>
        <v>1</v>
      </c>
      <c r="I103" s="3">
        <f>COUNTIFS('Test Cases'!$C$7:$C$175,A103,'Test Cases'!$O$7:$O$175,"Đạt")</f>
        <v>0</v>
      </c>
      <c r="J103" s="3" t="str">
        <f t="shared" si="3"/>
        <v>Chưa đóng</v>
      </c>
    </row>
    <row r="104" spans="1:10" ht="58.05" customHeight="1">
      <c r="A104" s="3" t="s">
        <v>911</v>
      </c>
      <c r="B104" s="3" t="s">
        <v>912</v>
      </c>
      <c r="C104" s="3" t="s">
        <v>1434</v>
      </c>
      <c r="D104" s="3" t="s">
        <v>1435</v>
      </c>
      <c r="E104" s="3" t="s">
        <v>916</v>
      </c>
      <c r="F104" s="3" t="s">
        <v>12</v>
      </c>
      <c r="G104" s="3" t="s">
        <v>910</v>
      </c>
      <c r="H104" s="3">
        <f>COUNTIF('Test Cases'!$C$7:$C$175,A104)</f>
        <v>1</v>
      </c>
      <c r="I104" s="3">
        <f>COUNTIFS('Test Cases'!$C$7:$C$175,A104,'Test Cases'!$O$7:$O$175,"Đạt")</f>
        <v>0</v>
      </c>
      <c r="J104" s="3" t="str">
        <f t="shared" si="3"/>
        <v>Chưa đóng</v>
      </c>
    </row>
    <row r="105" spans="1:10" ht="58.05" customHeight="1">
      <c r="A105" s="3" t="s">
        <v>919</v>
      </c>
      <c r="B105" s="3" t="s">
        <v>920</v>
      </c>
      <c r="C105" s="3" t="s">
        <v>1434</v>
      </c>
      <c r="D105" s="3" t="s">
        <v>1436</v>
      </c>
      <c r="E105" s="3" t="s">
        <v>923</v>
      </c>
      <c r="F105" s="3" t="s">
        <v>12</v>
      </c>
      <c r="G105" s="3" t="s">
        <v>918</v>
      </c>
      <c r="H105" s="3">
        <f>COUNTIF('Test Cases'!$C$7:$C$175,A105)</f>
        <v>1</v>
      </c>
      <c r="I105" s="3">
        <f>COUNTIFS('Test Cases'!$C$7:$C$175,A105,'Test Cases'!$O$7:$O$175,"Đạt")</f>
        <v>0</v>
      </c>
      <c r="J105" s="3" t="str">
        <f t="shared" si="3"/>
        <v>Chưa đóng</v>
      </c>
    </row>
    <row r="106" spans="1:10" ht="58.05" customHeight="1">
      <c r="A106" s="3" t="s">
        <v>926</v>
      </c>
      <c r="B106" s="3" t="s">
        <v>927</v>
      </c>
      <c r="C106" s="3" t="s">
        <v>1434</v>
      </c>
      <c r="D106" s="3" t="s">
        <v>1437</v>
      </c>
      <c r="E106" s="3" t="s">
        <v>930</v>
      </c>
      <c r="F106" s="3" t="s">
        <v>12</v>
      </c>
      <c r="G106" s="3" t="s">
        <v>925</v>
      </c>
      <c r="H106" s="3">
        <f>COUNTIF('Test Cases'!$C$7:$C$175,A106)</f>
        <v>1</v>
      </c>
      <c r="I106" s="3">
        <f>COUNTIFS('Test Cases'!$C$7:$C$175,A106,'Test Cases'!$O$7:$O$175,"Đạt")</f>
        <v>0</v>
      </c>
      <c r="J106" s="3" t="str">
        <f t="shared" si="3"/>
        <v>Chưa đóng</v>
      </c>
    </row>
    <row r="107" spans="1:10" ht="58.05" customHeight="1">
      <c r="A107" s="3" t="s">
        <v>933</v>
      </c>
      <c r="B107" s="3" t="s">
        <v>934</v>
      </c>
      <c r="C107" s="3" t="s">
        <v>1434</v>
      </c>
      <c r="D107" s="3" t="s">
        <v>1438</v>
      </c>
      <c r="E107" s="3" t="s">
        <v>937</v>
      </c>
      <c r="F107" s="3" t="s">
        <v>12</v>
      </c>
      <c r="G107" s="3" t="s">
        <v>932</v>
      </c>
      <c r="H107" s="3">
        <f>COUNTIF('Test Cases'!$C$7:$C$175,A107)</f>
        <v>1</v>
      </c>
      <c r="I107" s="3">
        <f>COUNTIFS('Test Cases'!$C$7:$C$175,A107,'Test Cases'!$O$7:$O$175,"Đạt")</f>
        <v>0</v>
      </c>
      <c r="J107" s="3" t="str">
        <f t="shared" si="3"/>
        <v>Chưa đóng</v>
      </c>
    </row>
    <row r="108" spans="1:10" ht="58.05" customHeight="1">
      <c r="A108" s="3" t="s">
        <v>940</v>
      </c>
      <c r="B108" s="3" t="s">
        <v>941</v>
      </c>
      <c r="C108" s="3" t="s">
        <v>1434</v>
      </c>
      <c r="D108" s="3" t="s">
        <v>1439</v>
      </c>
      <c r="E108" s="3" t="s">
        <v>944</v>
      </c>
      <c r="F108" s="3" t="s">
        <v>12</v>
      </c>
      <c r="G108" s="3" t="s">
        <v>939</v>
      </c>
      <c r="H108" s="3">
        <f>COUNTIF('Test Cases'!$C$7:$C$175,A108)</f>
        <v>1</v>
      </c>
      <c r="I108" s="3">
        <f>COUNTIFS('Test Cases'!$C$7:$C$175,A108,'Test Cases'!$O$7:$O$175,"Đạt")</f>
        <v>0</v>
      </c>
      <c r="J108" s="3" t="str">
        <f t="shared" si="3"/>
        <v>Chưa đóng</v>
      </c>
    </row>
    <row r="109" spans="1:10" ht="58.05" customHeight="1">
      <c r="A109" s="3" t="s">
        <v>947</v>
      </c>
      <c r="B109" s="3" t="s">
        <v>948</v>
      </c>
      <c r="C109" s="3" t="s">
        <v>1434</v>
      </c>
      <c r="D109" s="3" t="s">
        <v>1440</v>
      </c>
      <c r="E109" s="3" t="s">
        <v>951</v>
      </c>
      <c r="F109" s="3" t="s">
        <v>12</v>
      </c>
      <c r="G109" s="3" t="s">
        <v>946</v>
      </c>
      <c r="H109" s="3">
        <f>COUNTIF('Test Cases'!$C$7:$C$175,A109)</f>
        <v>1</v>
      </c>
      <c r="I109" s="3">
        <f>COUNTIFS('Test Cases'!$C$7:$C$175,A109,'Test Cases'!$O$7:$O$175,"Đạt")</f>
        <v>0</v>
      </c>
      <c r="J109" s="3" t="str">
        <f t="shared" si="3"/>
        <v>Chưa đóng</v>
      </c>
    </row>
    <row r="110" spans="1:10" ht="58.05" customHeight="1">
      <c r="A110" s="3" t="s">
        <v>954</v>
      </c>
      <c r="B110" s="3" t="s">
        <v>955</v>
      </c>
      <c r="C110" s="3" t="s">
        <v>1441</v>
      </c>
      <c r="D110" s="3" t="s">
        <v>1442</v>
      </c>
      <c r="E110" s="3" t="s">
        <v>959</v>
      </c>
      <c r="F110" s="3" t="s">
        <v>10</v>
      </c>
      <c r="G110" s="3" t="s">
        <v>953</v>
      </c>
      <c r="H110" s="3">
        <f>COUNTIF('Test Cases'!$C$7:$C$175,A110)</f>
        <v>3</v>
      </c>
      <c r="I110" s="3">
        <f>COUNTIFS('Test Cases'!$C$7:$C$175,A110,'Test Cases'!$O$7:$O$175,"Đạt")</f>
        <v>0</v>
      </c>
      <c r="J110" s="3" t="str">
        <f t="shared" si="3"/>
        <v>Chưa đóng</v>
      </c>
    </row>
    <row r="111" spans="1:10" ht="58.05" customHeight="1">
      <c r="A111" s="3" t="s">
        <v>962</v>
      </c>
      <c r="B111" s="3" t="s">
        <v>963</v>
      </c>
      <c r="C111" s="3" t="s">
        <v>1441</v>
      </c>
      <c r="D111" s="3" t="s">
        <v>1443</v>
      </c>
      <c r="E111" s="3" t="s">
        <v>966</v>
      </c>
      <c r="F111" s="3" t="s">
        <v>11</v>
      </c>
      <c r="G111" s="3" t="s">
        <v>961</v>
      </c>
      <c r="H111" s="3">
        <f>COUNTIF('Test Cases'!$C$7:$C$175,A111)</f>
        <v>1</v>
      </c>
      <c r="I111" s="3">
        <f>COUNTIFS('Test Cases'!$C$7:$C$175,A111,'Test Cases'!$O$7:$O$175,"Đạt")</f>
        <v>0</v>
      </c>
      <c r="J111" s="3" t="str">
        <f t="shared" si="3"/>
        <v>Chưa đóng</v>
      </c>
    </row>
    <row r="112" spans="1:10" ht="58.05" customHeight="1">
      <c r="A112" s="3" t="s">
        <v>969</v>
      </c>
      <c r="B112" s="3" t="s">
        <v>970</v>
      </c>
      <c r="C112" s="3" t="s">
        <v>1441</v>
      </c>
      <c r="D112" s="3" t="s">
        <v>1444</v>
      </c>
      <c r="E112" s="3" t="s">
        <v>973</v>
      </c>
      <c r="F112" s="3" t="s">
        <v>10</v>
      </c>
      <c r="G112" s="3" t="s">
        <v>968</v>
      </c>
      <c r="H112" s="3">
        <f>COUNTIF('Test Cases'!$C$7:$C$175,A112)</f>
        <v>2</v>
      </c>
      <c r="I112" s="3">
        <f>COUNTIFS('Test Cases'!$C$7:$C$175,A112,'Test Cases'!$O$7:$O$175,"Đạt")</f>
        <v>0</v>
      </c>
      <c r="J112" s="3" t="str">
        <f t="shared" si="3"/>
        <v>Chưa đóng</v>
      </c>
    </row>
    <row r="113" spans="1:10" ht="58.05" customHeight="1">
      <c r="A113" s="3" t="s">
        <v>976</v>
      </c>
      <c r="B113" s="3" t="s">
        <v>977</v>
      </c>
      <c r="C113" s="3" t="s">
        <v>1441</v>
      </c>
      <c r="D113" s="3" t="s">
        <v>1445</v>
      </c>
      <c r="E113" s="3" t="s">
        <v>980</v>
      </c>
      <c r="F113" s="3" t="s">
        <v>10</v>
      </c>
      <c r="G113" s="3" t="s">
        <v>975</v>
      </c>
      <c r="H113" s="3">
        <f>COUNTIF('Test Cases'!$C$7:$C$175,A113)</f>
        <v>1</v>
      </c>
      <c r="I113" s="3">
        <f>COUNTIFS('Test Cases'!$C$7:$C$175,A113,'Test Cases'!$O$7:$O$175,"Đạt")</f>
        <v>0</v>
      </c>
      <c r="J113" s="3" t="str">
        <f t="shared" si="3"/>
        <v>Chưa đóng</v>
      </c>
    </row>
    <row r="114" spans="1:10" ht="58.05" customHeight="1">
      <c r="A114" s="3" t="s">
        <v>983</v>
      </c>
      <c r="B114" s="3" t="s">
        <v>984</v>
      </c>
      <c r="C114" s="3" t="s">
        <v>1441</v>
      </c>
      <c r="D114" s="3" t="s">
        <v>1446</v>
      </c>
      <c r="E114" s="3" t="s">
        <v>987</v>
      </c>
      <c r="F114" s="3" t="s">
        <v>10</v>
      </c>
      <c r="G114" s="3" t="s">
        <v>982</v>
      </c>
      <c r="H114" s="3">
        <f>COUNTIF('Test Cases'!$C$7:$C$175,A114)</f>
        <v>1</v>
      </c>
      <c r="I114" s="3">
        <f>COUNTIFS('Test Cases'!$C$7:$C$175,A114,'Test Cases'!$O$7:$O$175,"Đạt")</f>
        <v>0</v>
      </c>
      <c r="J114" s="3" t="str">
        <f t="shared" si="3"/>
        <v>Chưa đóng</v>
      </c>
    </row>
    <row r="115" spans="1:10" ht="58.05" customHeight="1">
      <c r="A115" s="3" t="s">
        <v>990</v>
      </c>
      <c r="B115" s="3" t="s">
        <v>991</v>
      </c>
      <c r="C115" s="3" t="s">
        <v>1441</v>
      </c>
      <c r="D115" s="3" t="s">
        <v>1447</v>
      </c>
      <c r="E115" s="3" t="s">
        <v>994</v>
      </c>
      <c r="F115" s="3" t="s">
        <v>10</v>
      </c>
      <c r="G115" s="3" t="s">
        <v>989</v>
      </c>
      <c r="H115" s="3">
        <f>COUNTIF('Test Cases'!$C$7:$C$175,A115)</f>
        <v>1</v>
      </c>
      <c r="I115" s="3">
        <f>COUNTIFS('Test Cases'!$C$7:$C$175,A115,'Test Cases'!$O$7:$O$175,"Đạt")</f>
        <v>0</v>
      </c>
      <c r="J115" s="3" t="str">
        <f t="shared" si="3"/>
        <v>Chưa đóng</v>
      </c>
    </row>
  </sheetData>
  <mergeCells count="2">
    <mergeCell ref="A1:J1"/>
    <mergeCell ref="A2:J2"/>
  </mergeCells>
  <conditionalFormatting sqref="F6:F115">
    <cfRule type="expression" dxfId="2" priority="1">
      <formula>$F6="P0"</formula>
    </cfRule>
  </conditionalFormatting>
  <conditionalFormatting sqref="J6:J115">
    <cfRule type="expression" dxfId="1" priority="2">
      <formula>$J6="Đã Đạt toàn bộ"</formula>
    </cfRule>
    <cfRule type="expression" dxfId="0" priority="3">
      <formula>$J6="Chưa đóng"</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8"/>
  <sheetViews>
    <sheetView showGridLines="0" topLeftCell="A52" workbookViewId="0">
      <selection activeCell="D13" sqref="D13"/>
    </sheetView>
  </sheetViews>
  <sheetFormatPr defaultRowHeight="13.8"/>
  <cols>
    <col min="1" max="1" width="16" customWidth="1"/>
    <col min="2" max="2" width="20" customWidth="1"/>
    <col min="3" max="3" width="42" customWidth="1"/>
    <col min="4" max="4" width="45" customWidth="1"/>
    <col min="5" max="5" width="46" customWidth="1"/>
    <col min="6" max="6" width="24" customWidth="1"/>
    <col min="7" max="7" width="38" customWidth="1"/>
  </cols>
  <sheetData>
    <row r="1" spans="1:7" ht="34.049999999999997" customHeight="1">
      <c r="A1" s="20" t="s">
        <v>1448</v>
      </c>
      <c r="B1" s="20" t="s">
        <v>1448</v>
      </c>
      <c r="C1" s="20" t="s">
        <v>1448</v>
      </c>
      <c r="D1" s="20" t="s">
        <v>1448</v>
      </c>
      <c r="E1" s="20" t="s">
        <v>1448</v>
      </c>
      <c r="F1" s="20" t="s">
        <v>1448</v>
      </c>
      <c r="G1" s="20" t="s">
        <v>1448</v>
      </c>
    </row>
    <row r="2" spans="1:7" ht="30" customHeight="1">
      <c r="A2" s="21" t="s">
        <v>1449</v>
      </c>
      <c r="B2" s="21" t="s">
        <v>1449</v>
      </c>
      <c r="C2" s="21" t="s">
        <v>1449</v>
      </c>
      <c r="D2" s="21" t="s">
        <v>1449</v>
      </c>
      <c r="E2" s="21" t="s">
        <v>1449</v>
      </c>
      <c r="F2" s="21" t="s">
        <v>1449</v>
      </c>
      <c r="G2" s="21" t="s">
        <v>1449</v>
      </c>
    </row>
    <row r="5" spans="1:7" ht="31.95" customHeight="1">
      <c r="A5" s="1" t="s">
        <v>1450</v>
      </c>
      <c r="B5" s="1" t="s">
        <v>1451</v>
      </c>
      <c r="C5" s="1" t="s">
        <v>1452</v>
      </c>
      <c r="D5" s="1" t="s">
        <v>1453</v>
      </c>
      <c r="E5" s="1" t="s">
        <v>1454</v>
      </c>
      <c r="F5" s="1" t="s">
        <v>1455</v>
      </c>
      <c r="G5" s="1" t="s">
        <v>25</v>
      </c>
    </row>
    <row r="6" spans="1:7" ht="42" customHeight="1">
      <c r="A6" s="2" t="s">
        <v>1456</v>
      </c>
      <c r="B6" s="2" t="s">
        <v>1457</v>
      </c>
      <c r="C6" s="2" t="s">
        <v>1458</v>
      </c>
      <c r="D6" s="2" t="s">
        <v>1459</v>
      </c>
      <c r="E6" s="2" t="s">
        <v>1460</v>
      </c>
      <c r="F6" s="2" t="s">
        <v>1461</v>
      </c>
      <c r="G6" s="2" t="s">
        <v>1462</v>
      </c>
    </row>
    <row r="7" spans="1:7" ht="42" customHeight="1">
      <c r="A7" s="3" t="s">
        <v>1456</v>
      </c>
      <c r="B7" s="3" t="s">
        <v>1463</v>
      </c>
      <c r="C7" s="3" t="s">
        <v>1464</v>
      </c>
      <c r="D7" s="3" t="s">
        <v>1459</v>
      </c>
      <c r="E7" s="3" t="s">
        <v>1460</v>
      </c>
      <c r="F7" s="3" t="s">
        <v>785</v>
      </c>
      <c r="G7" s="3" t="s">
        <v>1462</v>
      </c>
    </row>
    <row r="8" spans="1:7" ht="42" customHeight="1">
      <c r="A8" s="3" t="s">
        <v>1456</v>
      </c>
      <c r="B8" s="3" t="s">
        <v>1465</v>
      </c>
      <c r="C8" s="3" t="s">
        <v>1417</v>
      </c>
      <c r="D8" s="3" t="s">
        <v>1466</v>
      </c>
      <c r="E8" s="3" t="s">
        <v>1460</v>
      </c>
      <c r="F8" s="3" t="s">
        <v>1467</v>
      </c>
      <c r="G8" s="3" t="s">
        <v>1468</v>
      </c>
    </row>
    <row r="9" spans="1:7" ht="42" customHeight="1">
      <c r="A9" s="3" t="s">
        <v>1469</v>
      </c>
      <c r="B9" s="3" t="s">
        <v>1470</v>
      </c>
      <c r="C9" s="3" t="s">
        <v>1471</v>
      </c>
      <c r="D9" s="3" t="s">
        <v>1472</v>
      </c>
      <c r="E9" s="3" t="s">
        <v>1473</v>
      </c>
      <c r="F9" s="3" t="s">
        <v>1474</v>
      </c>
      <c r="G9" s="3" t="s">
        <v>1475</v>
      </c>
    </row>
    <row r="10" spans="1:7" ht="42" customHeight="1">
      <c r="A10" s="3" t="s">
        <v>1469</v>
      </c>
      <c r="B10" s="3" t="s">
        <v>1476</v>
      </c>
      <c r="C10" s="3" t="s">
        <v>1477</v>
      </c>
      <c r="D10" s="3" t="s">
        <v>1478</v>
      </c>
      <c r="E10" s="3" t="s">
        <v>1479</v>
      </c>
      <c r="F10" s="3" t="s">
        <v>1480</v>
      </c>
      <c r="G10" s="3" t="s">
        <v>1481</v>
      </c>
    </row>
    <row r="11" spans="1:7" ht="42" customHeight="1">
      <c r="A11" s="3" t="s">
        <v>1469</v>
      </c>
      <c r="B11" s="3" t="s">
        <v>1482</v>
      </c>
      <c r="C11" s="3" t="s">
        <v>1483</v>
      </c>
      <c r="D11" s="3" t="s">
        <v>1484</v>
      </c>
      <c r="E11" s="3" t="s">
        <v>1485</v>
      </c>
      <c r="F11" s="3" t="s">
        <v>1486</v>
      </c>
      <c r="G11" s="3"/>
    </row>
    <row r="12" spans="1:7" ht="42" customHeight="1">
      <c r="A12" s="3" t="s">
        <v>1469</v>
      </c>
      <c r="B12" s="3" t="s">
        <v>1487</v>
      </c>
      <c r="C12" s="3" t="s">
        <v>1488</v>
      </c>
      <c r="D12" s="3" t="s">
        <v>1489</v>
      </c>
      <c r="E12" s="3" t="s">
        <v>1490</v>
      </c>
      <c r="F12" s="3" t="s">
        <v>1491</v>
      </c>
      <c r="G12" s="3"/>
    </row>
    <row r="13" spans="1:7" ht="42" customHeight="1">
      <c r="A13" s="3" t="s">
        <v>1469</v>
      </c>
      <c r="B13" s="3" t="s">
        <v>1492</v>
      </c>
      <c r="C13" s="3" t="s">
        <v>1493</v>
      </c>
      <c r="D13" s="3" t="s">
        <v>1494</v>
      </c>
      <c r="E13" s="3" t="s">
        <v>1495</v>
      </c>
      <c r="F13" s="3" t="s">
        <v>1496</v>
      </c>
      <c r="G13" s="3" t="s">
        <v>1481</v>
      </c>
    </row>
    <row r="14" spans="1:7" ht="42" customHeight="1">
      <c r="A14" s="3" t="s">
        <v>1497</v>
      </c>
      <c r="B14" s="3" t="s">
        <v>1498</v>
      </c>
      <c r="C14" s="3" t="s">
        <v>1499</v>
      </c>
      <c r="D14" s="3" t="s">
        <v>1500</v>
      </c>
      <c r="E14" s="3" t="s">
        <v>1473</v>
      </c>
      <c r="F14" s="3" t="s">
        <v>1501</v>
      </c>
      <c r="G14" s="3"/>
    </row>
    <row r="15" spans="1:7" ht="42" customHeight="1">
      <c r="A15" s="3" t="s">
        <v>1497</v>
      </c>
      <c r="B15" s="3" t="s">
        <v>1502</v>
      </c>
      <c r="C15" s="3" t="s">
        <v>1503</v>
      </c>
      <c r="D15" s="3" t="s">
        <v>1504</v>
      </c>
      <c r="E15" s="3" t="s">
        <v>1505</v>
      </c>
      <c r="F15" s="3" t="s">
        <v>1506</v>
      </c>
      <c r="G15" s="3"/>
    </row>
    <row r="16" spans="1:7" ht="42" customHeight="1">
      <c r="A16" s="3" t="s">
        <v>1497</v>
      </c>
      <c r="B16" s="3" t="s">
        <v>1507</v>
      </c>
      <c r="C16" s="3" t="s">
        <v>1257</v>
      </c>
      <c r="D16" s="3" t="s">
        <v>1508</v>
      </c>
      <c r="E16" s="3" t="s">
        <v>1509</v>
      </c>
      <c r="F16" s="3" t="s">
        <v>1510</v>
      </c>
      <c r="G16" s="3"/>
    </row>
    <row r="17" spans="1:7" ht="42" customHeight="1">
      <c r="A17" s="3" t="s">
        <v>1497</v>
      </c>
      <c r="B17" s="3" t="s">
        <v>1511</v>
      </c>
      <c r="C17" s="3" t="s">
        <v>1512</v>
      </c>
      <c r="D17" s="3" t="s">
        <v>1513</v>
      </c>
      <c r="E17" s="3" t="s">
        <v>1514</v>
      </c>
      <c r="F17" s="3" t="s">
        <v>1515</v>
      </c>
      <c r="G17" s="3"/>
    </row>
    <row r="18" spans="1:7" ht="42" customHeight="1">
      <c r="A18" s="3" t="s">
        <v>1497</v>
      </c>
      <c r="B18" s="3" t="s">
        <v>1516</v>
      </c>
      <c r="C18" s="3" t="s">
        <v>1517</v>
      </c>
      <c r="D18" s="3" t="s">
        <v>1518</v>
      </c>
      <c r="E18" s="3" t="s">
        <v>1519</v>
      </c>
      <c r="F18" s="3" t="s">
        <v>825</v>
      </c>
      <c r="G18" s="3"/>
    </row>
    <row r="19" spans="1:7" ht="42" customHeight="1">
      <c r="A19" s="3" t="s">
        <v>1520</v>
      </c>
      <c r="B19" s="3" t="s">
        <v>1521</v>
      </c>
      <c r="C19" s="3" t="s">
        <v>1522</v>
      </c>
      <c r="D19" s="3" t="s">
        <v>1523</v>
      </c>
      <c r="E19" s="3" t="s">
        <v>1524</v>
      </c>
      <c r="F19" s="3" t="s">
        <v>344</v>
      </c>
      <c r="G19" s="3"/>
    </row>
    <row r="20" spans="1:7" ht="42" customHeight="1">
      <c r="A20" s="3" t="s">
        <v>1520</v>
      </c>
      <c r="B20" s="3" t="s">
        <v>1525</v>
      </c>
      <c r="C20" s="3" t="s">
        <v>1526</v>
      </c>
      <c r="D20" s="3" t="s">
        <v>1527</v>
      </c>
      <c r="E20" s="3" t="s">
        <v>1528</v>
      </c>
      <c r="F20" s="3" t="s">
        <v>1529</v>
      </c>
      <c r="G20" s="3"/>
    </row>
    <row r="21" spans="1:7" ht="42" customHeight="1">
      <c r="A21" s="3" t="s">
        <v>1520</v>
      </c>
      <c r="B21" s="3" t="s">
        <v>1530</v>
      </c>
      <c r="C21" s="3" t="s">
        <v>1531</v>
      </c>
      <c r="D21" s="3" t="s">
        <v>1532</v>
      </c>
      <c r="E21" s="3" t="s">
        <v>1533</v>
      </c>
      <c r="F21" s="3" t="s">
        <v>1534</v>
      </c>
      <c r="G21" s="3"/>
    </row>
    <row r="22" spans="1:7" ht="42" customHeight="1">
      <c r="A22" s="3" t="s">
        <v>1520</v>
      </c>
      <c r="B22" s="3" t="s">
        <v>1535</v>
      </c>
      <c r="C22" s="3" t="s">
        <v>1536</v>
      </c>
      <c r="D22" s="3" t="s">
        <v>1537</v>
      </c>
      <c r="E22" s="3" t="s">
        <v>1538</v>
      </c>
      <c r="F22" s="3" t="s">
        <v>1539</v>
      </c>
      <c r="G22" s="3"/>
    </row>
    <row r="23" spans="1:7" ht="42" customHeight="1">
      <c r="A23" s="3" t="s">
        <v>1540</v>
      </c>
      <c r="B23" s="3" t="s">
        <v>1541</v>
      </c>
      <c r="C23" s="3" t="s">
        <v>1542</v>
      </c>
      <c r="D23" s="3" t="s">
        <v>1543</v>
      </c>
      <c r="E23" s="3" t="s">
        <v>1544</v>
      </c>
      <c r="F23" s="3" t="s">
        <v>1545</v>
      </c>
      <c r="G23" s="3"/>
    </row>
    <row r="24" spans="1:7" ht="42" customHeight="1">
      <c r="A24" s="3" t="s">
        <v>1540</v>
      </c>
      <c r="B24" s="3" t="s">
        <v>1546</v>
      </c>
      <c r="C24" s="3" t="s">
        <v>655</v>
      </c>
      <c r="D24" s="3" t="s">
        <v>1543</v>
      </c>
      <c r="E24" s="3" t="s">
        <v>1544</v>
      </c>
      <c r="F24" s="3" t="s">
        <v>1545</v>
      </c>
      <c r="G24" s="3"/>
    </row>
    <row r="25" spans="1:7" ht="42" customHeight="1">
      <c r="A25" s="3" t="s">
        <v>1540</v>
      </c>
      <c r="B25" s="3" t="s">
        <v>1547</v>
      </c>
      <c r="C25" s="3" t="s">
        <v>1548</v>
      </c>
      <c r="D25" s="3" t="s">
        <v>1543</v>
      </c>
      <c r="E25" s="3" t="s">
        <v>1544</v>
      </c>
      <c r="F25" s="3" t="s">
        <v>534</v>
      </c>
      <c r="G25" s="3"/>
    </row>
    <row r="26" spans="1:7" ht="42" customHeight="1">
      <c r="A26" s="3" t="s">
        <v>1540</v>
      </c>
      <c r="B26" s="3" t="s">
        <v>1549</v>
      </c>
      <c r="C26" s="3" t="s">
        <v>1550</v>
      </c>
      <c r="D26" s="3" t="s">
        <v>1543</v>
      </c>
      <c r="E26" s="3" t="s">
        <v>1544</v>
      </c>
      <c r="F26" s="3" t="s">
        <v>534</v>
      </c>
      <c r="G26" s="3"/>
    </row>
    <row r="27" spans="1:7" ht="42" customHeight="1">
      <c r="A27" s="3" t="s">
        <v>1540</v>
      </c>
      <c r="B27" s="3" t="s">
        <v>1551</v>
      </c>
      <c r="C27" s="3" t="s">
        <v>1552</v>
      </c>
      <c r="D27" s="3" t="s">
        <v>1543</v>
      </c>
      <c r="E27" s="3" t="s">
        <v>1553</v>
      </c>
      <c r="F27" s="3" t="s">
        <v>1554</v>
      </c>
      <c r="G27" s="3"/>
    </row>
    <row r="28" spans="1:7" ht="42" customHeight="1">
      <c r="A28" s="3" t="s">
        <v>1540</v>
      </c>
      <c r="B28" s="3" t="s">
        <v>1555</v>
      </c>
      <c r="C28" s="3" t="s">
        <v>1556</v>
      </c>
      <c r="D28" s="3" t="s">
        <v>1543</v>
      </c>
      <c r="E28" s="3" t="s">
        <v>1553</v>
      </c>
      <c r="F28" s="3" t="s">
        <v>541</v>
      </c>
      <c r="G28" s="3"/>
    </row>
    <row r="29" spans="1:7" ht="42" customHeight="1">
      <c r="A29" s="3" t="s">
        <v>1540</v>
      </c>
      <c r="B29" s="3" t="s">
        <v>1557</v>
      </c>
      <c r="C29" s="3" t="s">
        <v>1558</v>
      </c>
      <c r="D29" s="3" t="s">
        <v>1543</v>
      </c>
      <c r="E29" s="3" t="s">
        <v>1553</v>
      </c>
      <c r="F29" s="3" t="s">
        <v>541</v>
      </c>
      <c r="G29" s="3"/>
    </row>
    <row r="30" spans="1:7" ht="42" customHeight="1">
      <c r="A30" s="3" t="s">
        <v>1540</v>
      </c>
      <c r="B30" s="3" t="s">
        <v>1559</v>
      </c>
      <c r="C30" s="3" t="s">
        <v>1560</v>
      </c>
      <c r="D30" s="3" t="s">
        <v>1543</v>
      </c>
      <c r="E30" s="3" t="s">
        <v>1561</v>
      </c>
      <c r="F30" s="3" t="s">
        <v>1562</v>
      </c>
      <c r="G30" s="3"/>
    </row>
    <row r="31" spans="1:7" ht="42" customHeight="1">
      <c r="A31" s="3" t="s">
        <v>1540</v>
      </c>
      <c r="B31" s="3" t="s">
        <v>1563</v>
      </c>
      <c r="C31" s="3" t="s">
        <v>1564</v>
      </c>
      <c r="D31" s="3" t="s">
        <v>1543</v>
      </c>
      <c r="E31" s="3" t="s">
        <v>1561</v>
      </c>
      <c r="F31" s="3" t="s">
        <v>548</v>
      </c>
      <c r="G31" s="3"/>
    </row>
    <row r="32" spans="1:7" ht="42" customHeight="1">
      <c r="A32" s="3" t="s">
        <v>1540</v>
      </c>
      <c r="B32" s="3" t="s">
        <v>1565</v>
      </c>
      <c r="C32" s="3" t="s">
        <v>1566</v>
      </c>
      <c r="D32" s="3" t="s">
        <v>1543</v>
      </c>
      <c r="E32" s="3" t="s">
        <v>1567</v>
      </c>
      <c r="F32" s="3" t="s">
        <v>548</v>
      </c>
      <c r="G32" s="3"/>
    </row>
    <row r="33" spans="1:7" ht="42" customHeight="1">
      <c r="A33" s="3" t="s">
        <v>1540</v>
      </c>
      <c r="B33" s="3" t="s">
        <v>1568</v>
      </c>
      <c r="C33" s="3" t="s">
        <v>1569</v>
      </c>
      <c r="D33" s="3" t="s">
        <v>1543</v>
      </c>
      <c r="E33" s="3" t="s">
        <v>1570</v>
      </c>
      <c r="F33" s="3" t="s">
        <v>548</v>
      </c>
      <c r="G33" s="3"/>
    </row>
    <row r="34" spans="1:7" ht="42" customHeight="1">
      <c r="A34" s="3" t="s">
        <v>1540</v>
      </c>
      <c r="B34" s="3" t="s">
        <v>1571</v>
      </c>
      <c r="C34" s="3" t="s">
        <v>1572</v>
      </c>
      <c r="D34" s="3" t="s">
        <v>1573</v>
      </c>
      <c r="E34" s="3" t="s">
        <v>1574</v>
      </c>
      <c r="F34" s="3" t="s">
        <v>555</v>
      </c>
      <c r="G34" s="3"/>
    </row>
    <row r="35" spans="1:7" ht="42" customHeight="1">
      <c r="A35" s="3" t="s">
        <v>1540</v>
      </c>
      <c r="B35" s="3" t="s">
        <v>1575</v>
      </c>
      <c r="C35" s="3" t="s">
        <v>1576</v>
      </c>
      <c r="D35" s="3" t="s">
        <v>1573</v>
      </c>
      <c r="E35" s="3" t="s">
        <v>1577</v>
      </c>
      <c r="F35" s="3" t="s">
        <v>562</v>
      </c>
      <c r="G35" s="3"/>
    </row>
    <row r="36" spans="1:7" ht="42" customHeight="1">
      <c r="A36" s="3" t="s">
        <v>1540</v>
      </c>
      <c r="B36" s="3" t="s">
        <v>1578</v>
      </c>
      <c r="C36" s="3" t="s">
        <v>1579</v>
      </c>
      <c r="D36" s="3" t="s">
        <v>1580</v>
      </c>
      <c r="E36" s="3" t="s">
        <v>1581</v>
      </c>
      <c r="F36" s="3" t="s">
        <v>619</v>
      </c>
      <c r="G36" s="3"/>
    </row>
    <row r="37" spans="1:7" ht="42" customHeight="1">
      <c r="A37" s="3" t="s">
        <v>1582</v>
      </c>
      <c r="B37" s="3" t="s">
        <v>1583</v>
      </c>
      <c r="C37" s="3" t="s">
        <v>1584</v>
      </c>
      <c r="D37" s="3" t="s">
        <v>1585</v>
      </c>
      <c r="E37" s="3" t="s">
        <v>1586</v>
      </c>
      <c r="F37" s="3" t="s">
        <v>520</v>
      </c>
      <c r="G37" s="3"/>
    </row>
    <row r="38" spans="1:7" ht="42" customHeight="1">
      <c r="A38" s="3" t="s">
        <v>1582</v>
      </c>
      <c r="B38" s="3" t="s">
        <v>1587</v>
      </c>
      <c r="C38" s="3" t="s">
        <v>1588</v>
      </c>
      <c r="D38" s="3" t="s">
        <v>1589</v>
      </c>
      <c r="E38" s="3" t="s">
        <v>1590</v>
      </c>
      <c r="F38" s="3" t="s">
        <v>527</v>
      </c>
      <c r="G38" s="3"/>
    </row>
    <row r="39" spans="1:7" ht="42" customHeight="1">
      <c r="A39" s="3" t="s">
        <v>1582</v>
      </c>
      <c r="B39" s="3" t="s">
        <v>1591</v>
      </c>
      <c r="C39" s="3" t="s">
        <v>1592</v>
      </c>
      <c r="D39" s="3" t="s">
        <v>1593</v>
      </c>
      <c r="E39" s="3" t="s">
        <v>1594</v>
      </c>
      <c r="F39" s="3" t="s">
        <v>527</v>
      </c>
      <c r="G39" s="3"/>
    </row>
    <row r="40" spans="1:7" ht="42" customHeight="1">
      <c r="A40" s="3" t="s">
        <v>1595</v>
      </c>
      <c r="B40" s="3" t="s">
        <v>1596</v>
      </c>
      <c r="C40" s="3" t="s">
        <v>1597</v>
      </c>
      <c r="D40" s="3" t="s">
        <v>1598</v>
      </c>
      <c r="E40" s="3" t="s">
        <v>1599</v>
      </c>
      <c r="F40" s="3" t="s">
        <v>1600</v>
      </c>
      <c r="G40" s="3" t="s">
        <v>1601</v>
      </c>
    </row>
    <row r="41" spans="1:7" ht="42" customHeight="1">
      <c r="A41" s="3" t="s">
        <v>1595</v>
      </c>
      <c r="B41" s="3" t="s">
        <v>1602</v>
      </c>
      <c r="C41" s="3" t="s">
        <v>1603</v>
      </c>
      <c r="D41" s="3" t="s">
        <v>1604</v>
      </c>
      <c r="E41" s="3" t="s">
        <v>1605</v>
      </c>
      <c r="F41" s="3" t="s">
        <v>605</v>
      </c>
      <c r="G41" s="3"/>
    </row>
    <row r="42" spans="1:7" ht="42" customHeight="1">
      <c r="A42" s="3" t="s">
        <v>1595</v>
      </c>
      <c r="B42" s="3" t="s">
        <v>1606</v>
      </c>
      <c r="C42" s="3" t="s">
        <v>1607</v>
      </c>
      <c r="D42" s="3" t="s">
        <v>1608</v>
      </c>
      <c r="E42" s="3" t="s">
        <v>1609</v>
      </c>
      <c r="F42" s="3" t="s">
        <v>605</v>
      </c>
      <c r="G42" s="3"/>
    </row>
    <row r="43" spans="1:7" ht="42" customHeight="1">
      <c r="A43" s="3" t="s">
        <v>1595</v>
      </c>
      <c r="B43" s="3" t="s">
        <v>1610</v>
      </c>
      <c r="C43" s="3" t="s">
        <v>1611</v>
      </c>
      <c r="D43" s="3" t="s">
        <v>1612</v>
      </c>
      <c r="E43" s="3" t="s">
        <v>1613</v>
      </c>
      <c r="F43" s="3" t="s">
        <v>1614</v>
      </c>
      <c r="G43" s="3" t="s">
        <v>1615</v>
      </c>
    </row>
    <row r="44" spans="1:7" ht="42" customHeight="1">
      <c r="A44" s="3" t="s">
        <v>1595</v>
      </c>
      <c r="B44" s="3" t="s">
        <v>1616</v>
      </c>
      <c r="C44" s="3" t="s">
        <v>1617</v>
      </c>
      <c r="D44" s="3" t="s">
        <v>1618</v>
      </c>
      <c r="E44" s="3" t="s">
        <v>1619</v>
      </c>
      <c r="F44" s="3" t="s">
        <v>626</v>
      </c>
      <c r="G44" s="3"/>
    </row>
    <row r="45" spans="1:7" ht="42" customHeight="1">
      <c r="A45" s="3" t="s">
        <v>1620</v>
      </c>
      <c r="B45" s="3" t="s">
        <v>1621</v>
      </c>
      <c r="C45" s="3" t="s">
        <v>1622</v>
      </c>
      <c r="D45" s="3" t="s">
        <v>1623</v>
      </c>
      <c r="E45" s="3" t="s">
        <v>1624</v>
      </c>
      <c r="F45" s="3" t="s">
        <v>654</v>
      </c>
      <c r="G45" s="3" t="s">
        <v>1625</v>
      </c>
    </row>
    <row r="46" spans="1:7" ht="42" customHeight="1">
      <c r="A46" s="3" t="s">
        <v>1620</v>
      </c>
      <c r="B46" s="3" t="s">
        <v>1626</v>
      </c>
      <c r="C46" s="3" t="s">
        <v>1627</v>
      </c>
      <c r="D46" s="3" t="s">
        <v>1628</v>
      </c>
      <c r="E46" s="3" t="s">
        <v>1629</v>
      </c>
      <c r="F46" s="3" t="s">
        <v>654</v>
      </c>
      <c r="G46" s="3" t="s">
        <v>1625</v>
      </c>
    </row>
    <row r="47" spans="1:7" ht="42" customHeight="1">
      <c r="A47" s="3" t="s">
        <v>1620</v>
      </c>
      <c r="B47" s="3" t="s">
        <v>1630</v>
      </c>
      <c r="C47" s="3" t="s">
        <v>1631</v>
      </c>
      <c r="D47" s="3" t="s">
        <v>1623</v>
      </c>
      <c r="E47" s="3" t="s">
        <v>1624</v>
      </c>
      <c r="F47" s="3" t="s">
        <v>654</v>
      </c>
      <c r="G47" s="3" t="s">
        <v>1625</v>
      </c>
    </row>
    <row r="48" spans="1:7" ht="42" customHeight="1">
      <c r="A48" s="3" t="s">
        <v>1632</v>
      </c>
      <c r="B48" s="3" t="s">
        <v>1633</v>
      </c>
      <c r="C48" s="3" t="s">
        <v>1634</v>
      </c>
      <c r="D48" s="3" t="s">
        <v>1635</v>
      </c>
      <c r="E48" s="3" t="s">
        <v>1636</v>
      </c>
      <c r="F48" s="3" t="s">
        <v>1637</v>
      </c>
      <c r="G48" s="3"/>
    </row>
    <row r="49" spans="1:7" ht="42" customHeight="1">
      <c r="A49" s="3" t="s">
        <v>1632</v>
      </c>
      <c r="B49" s="3" t="s">
        <v>1638</v>
      </c>
      <c r="C49" s="3" t="s">
        <v>1639</v>
      </c>
      <c r="D49" s="3" t="s">
        <v>1635</v>
      </c>
      <c r="E49" s="3" t="s">
        <v>1640</v>
      </c>
      <c r="F49" s="3" t="s">
        <v>705</v>
      </c>
      <c r="G49" s="3"/>
    </row>
    <row r="50" spans="1:7" ht="42" customHeight="1">
      <c r="A50" s="3" t="s">
        <v>1641</v>
      </c>
      <c r="B50" s="3" t="s">
        <v>1642</v>
      </c>
      <c r="C50" s="3" t="s">
        <v>1643</v>
      </c>
      <c r="D50" s="3" t="s">
        <v>1644</v>
      </c>
      <c r="E50" s="3" t="s">
        <v>1645</v>
      </c>
      <c r="F50" s="3" t="s">
        <v>719</v>
      </c>
      <c r="G50" s="3" t="s">
        <v>1646</v>
      </c>
    </row>
    <row r="51" spans="1:7" ht="42" customHeight="1">
      <c r="A51" s="3" t="s">
        <v>1641</v>
      </c>
      <c r="B51" s="3" t="s">
        <v>1647</v>
      </c>
      <c r="C51" s="3" t="s">
        <v>1648</v>
      </c>
      <c r="D51" s="3" t="s">
        <v>1649</v>
      </c>
      <c r="E51" s="3" t="s">
        <v>1650</v>
      </c>
      <c r="F51" s="3" t="s">
        <v>719</v>
      </c>
      <c r="G51" s="3"/>
    </row>
    <row r="52" spans="1:7" ht="42" customHeight="1">
      <c r="A52" s="3" t="s">
        <v>1641</v>
      </c>
      <c r="B52" s="3" t="s">
        <v>1651</v>
      </c>
      <c r="C52" s="3" t="s">
        <v>1652</v>
      </c>
      <c r="D52" s="3" t="s">
        <v>1649</v>
      </c>
      <c r="E52" s="3" t="s">
        <v>1650</v>
      </c>
      <c r="F52" s="3" t="s">
        <v>719</v>
      </c>
      <c r="G52" s="3"/>
    </row>
    <row r="53" spans="1:7" ht="42" customHeight="1">
      <c r="A53" s="3" t="s">
        <v>1653</v>
      </c>
      <c r="B53" s="3" t="s">
        <v>1654</v>
      </c>
      <c r="C53" s="3" t="s">
        <v>1655</v>
      </c>
      <c r="D53" s="3" t="s">
        <v>1656</v>
      </c>
      <c r="E53" s="3" t="s">
        <v>1657</v>
      </c>
      <c r="F53" s="3" t="s">
        <v>1658</v>
      </c>
      <c r="G53" s="3" t="s">
        <v>1659</v>
      </c>
    </row>
    <row r="54" spans="1:7" ht="42" customHeight="1">
      <c r="A54" s="3" t="s">
        <v>1660</v>
      </c>
      <c r="B54" s="3" t="s">
        <v>1661</v>
      </c>
      <c r="C54" s="3" t="s">
        <v>1662</v>
      </c>
      <c r="D54" s="3" t="s">
        <v>1663</v>
      </c>
      <c r="E54" s="3" t="s">
        <v>1664</v>
      </c>
      <c r="F54" s="3" t="s">
        <v>804</v>
      </c>
      <c r="G54" s="3"/>
    </row>
    <row r="55" spans="1:7" ht="42" customHeight="1">
      <c r="A55" s="3" t="s">
        <v>1660</v>
      </c>
      <c r="B55" s="3" t="s">
        <v>1665</v>
      </c>
      <c r="C55" s="3" t="s">
        <v>1249</v>
      </c>
      <c r="D55" s="3" t="s">
        <v>1666</v>
      </c>
      <c r="E55" s="3" t="s">
        <v>1667</v>
      </c>
      <c r="F55" s="3" t="s">
        <v>804</v>
      </c>
      <c r="G55" s="3"/>
    </row>
    <row r="56" spans="1:7" ht="42" customHeight="1">
      <c r="A56" s="3" t="s">
        <v>1660</v>
      </c>
      <c r="B56" s="3" t="s">
        <v>1668</v>
      </c>
      <c r="C56" s="3" t="s">
        <v>1669</v>
      </c>
      <c r="D56" s="3" t="s">
        <v>1670</v>
      </c>
      <c r="E56" s="3" t="s">
        <v>1671</v>
      </c>
      <c r="F56" s="3" t="s">
        <v>1672</v>
      </c>
      <c r="G56" s="3"/>
    </row>
    <row r="57" spans="1:7" ht="42" customHeight="1">
      <c r="A57" s="3" t="s">
        <v>1673</v>
      </c>
      <c r="B57" s="3" t="s">
        <v>1674</v>
      </c>
      <c r="C57" s="3" t="s">
        <v>1675</v>
      </c>
      <c r="D57" s="3" t="s">
        <v>1676</v>
      </c>
      <c r="E57" s="3" t="s">
        <v>1677</v>
      </c>
      <c r="F57" s="3" t="s">
        <v>1678</v>
      </c>
      <c r="G57" s="3" t="s">
        <v>1679</v>
      </c>
    </row>
    <row r="58" spans="1:7" ht="42" customHeight="1">
      <c r="A58" s="3" t="s">
        <v>1673</v>
      </c>
      <c r="B58" s="3" t="s">
        <v>1680</v>
      </c>
      <c r="C58" s="3" t="s">
        <v>1681</v>
      </c>
      <c r="D58" s="3" t="s">
        <v>1682</v>
      </c>
      <c r="E58" s="3" t="s">
        <v>1683</v>
      </c>
      <c r="F58" s="3" t="s">
        <v>1684</v>
      </c>
      <c r="G58" s="3"/>
    </row>
  </sheetData>
  <mergeCells count="2">
    <mergeCell ref="A1:G1"/>
    <mergeCell ref="A2:G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30"/>
  <sheetViews>
    <sheetView showGridLines="0" workbookViewId="0"/>
  </sheetViews>
  <sheetFormatPr defaultRowHeight="13.8"/>
  <cols>
    <col min="1" max="1" width="16" customWidth="1"/>
    <col min="2" max="3" width="18" customWidth="1"/>
    <col min="4" max="4" width="38" customWidth="1"/>
    <col min="5" max="5" width="16" customWidth="1"/>
    <col min="6" max="6" width="12" customWidth="1"/>
    <col min="7" max="7" width="20" customWidth="1"/>
    <col min="8" max="8" width="14" customWidth="1"/>
    <col min="9" max="9" width="38" customWidth="1"/>
    <col min="10" max="10" width="55" customWidth="1"/>
    <col min="11" max="12" width="45" customWidth="1"/>
    <col min="13" max="13" width="28" customWidth="1"/>
    <col min="14" max="14" width="18" customWidth="1"/>
    <col min="15" max="15" width="14" customWidth="1"/>
  </cols>
  <sheetData>
    <row r="1" spans="1:15" ht="34.049999999999997" customHeight="1">
      <c r="A1" s="20" t="s">
        <v>1685</v>
      </c>
      <c r="B1" s="20" t="s">
        <v>1685</v>
      </c>
      <c r="C1" s="20" t="s">
        <v>1685</v>
      </c>
      <c r="D1" s="20" t="s">
        <v>1685</v>
      </c>
      <c r="E1" s="20" t="s">
        <v>1685</v>
      </c>
      <c r="F1" s="20" t="s">
        <v>1685</v>
      </c>
      <c r="G1" s="20" t="s">
        <v>1685</v>
      </c>
      <c r="H1" s="20" t="s">
        <v>1685</v>
      </c>
      <c r="I1" s="20" t="s">
        <v>1685</v>
      </c>
      <c r="J1" s="20" t="s">
        <v>1685</v>
      </c>
      <c r="K1" s="20" t="s">
        <v>1685</v>
      </c>
      <c r="L1" s="20" t="s">
        <v>1685</v>
      </c>
      <c r="M1" s="20" t="s">
        <v>1685</v>
      </c>
      <c r="N1" s="20" t="s">
        <v>1685</v>
      </c>
      <c r="O1" s="20" t="s">
        <v>1685</v>
      </c>
    </row>
    <row r="2" spans="1:15" ht="30" customHeight="1">
      <c r="A2" s="21" t="s">
        <v>1686</v>
      </c>
      <c r="B2" s="21" t="s">
        <v>1686</v>
      </c>
      <c r="C2" s="21" t="s">
        <v>1686</v>
      </c>
      <c r="D2" s="21" t="s">
        <v>1686</v>
      </c>
      <c r="E2" s="21" t="s">
        <v>1686</v>
      </c>
      <c r="F2" s="21" t="s">
        <v>1686</v>
      </c>
      <c r="G2" s="21" t="s">
        <v>1686</v>
      </c>
      <c r="H2" s="21" t="s">
        <v>1686</v>
      </c>
      <c r="I2" s="21" t="s">
        <v>1686</v>
      </c>
      <c r="J2" s="21" t="s">
        <v>1686</v>
      </c>
      <c r="K2" s="21" t="s">
        <v>1686</v>
      </c>
      <c r="L2" s="21" t="s">
        <v>1686</v>
      </c>
      <c r="M2" s="21" t="s">
        <v>1686</v>
      </c>
      <c r="N2" s="21" t="s">
        <v>1686</v>
      </c>
      <c r="O2" s="21" t="s">
        <v>1686</v>
      </c>
    </row>
    <row r="5" spans="1:15" ht="31.95" customHeight="1">
      <c r="A5" s="1" t="s">
        <v>188</v>
      </c>
      <c r="B5" s="1" t="s">
        <v>1687</v>
      </c>
      <c r="C5" s="1" t="s">
        <v>1688</v>
      </c>
      <c r="D5" s="1" t="s">
        <v>75</v>
      </c>
      <c r="E5" s="1" t="s">
        <v>1689</v>
      </c>
      <c r="F5" s="1" t="s">
        <v>1690</v>
      </c>
      <c r="G5" s="1" t="s">
        <v>1691</v>
      </c>
      <c r="H5" s="1" t="s">
        <v>1692</v>
      </c>
      <c r="I5" s="1" t="s">
        <v>1469</v>
      </c>
      <c r="J5" s="1" t="s">
        <v>1693</v>
      </c>
      <c r="K5" s="1" t="s">
        <v>1694</v>
      </c>
      <c r="L5" s="1" t="s">
        <v>1695</v>
      </c>
      <c r="M5" s="1" t="s">
        <v>1696</v>
      </c>
      <c r="N5" s="1" t="s">
        <v>1697</v>
      </c>
      <c r="O5" s="1" t="s">
        <v>1698</v>
      </c>
    </row>
    <row r="6" spans="1:15" ht="54" customHeight="1">
      <c r="A6" s="10"/>
      <c r="B6" s="10"/>
      <c r="C6" s="10"/>
      <c r="D6" s="10"/>
      <c r="E6" s="10"/>
      <c r="F6" s="10"/>
      <c r="G6" s="10"/>
      <c r="H6" s="10"/>
      <c r="I6" s="10"/>
      <c r="J6" s="10"/>
      <c r="K6" s="10"/>
      <c r="L6" s="10"/>
      <c r="M6" s="10"/>
      <c r="N6" s="10"/>
      <c r="O6" s="12"/>
    </row>
    <row r="7" spans="1:15" ht="54" customHeight="1">
      <c r="A7" s="11"/>
      <c r="B7" s="11"/>
      <c r="C7" s="11"/>
      <c r="D7" s="11"/>
      <c r="E7" s="11"/>
      <c r="F7" s="11"/>
      <c r="G7" s="11"/>
      <c r="H7" s="11"/>
      <c r="I7" s="11"/>
      <c r="J7" s="11"/>
      <c r="K7" s="11"/>
      <c r="L7" s="11"/>
      <c r="M7" s="11"/>
      <c r="N7" s="11"/>
      <c r="O7" s="13"/>
    </row>
    <row r="8" spans="1:15" ht="54" customHeight="1">
      <c r="A8" s="11"/>
      <c r="B8" s="11"/>
      <c r="C8" s="11"/>
      <c r="D8" s="11"/>
      <c r="E8" s="11"/>
      <c r="F8" s="11"/>
      <c r="G8" s="11"/>
      <c r="H8" s="11"/>
      <c r="I8" s="11"/>
      <c r="J8" s="11"/>
      <c r="K8" s="11"/>
      <c r="L8" s="11"/>
      <c r="M8" s="11"/>
      <c r="N8" s="11"/>
      <c r="O8" s="13"/>
    </row>
    <row r="9" spans="1:15" ht="54" customHeight="1">
      <c r="A9" s="11"/>
      <c r="B9" s="11"/>
      <c r="C9" s="11"/>
      <c r="D9" s="11"/>
      <c r="E9" s="11"/>
      <c r="F9" s="11"/>
      <c r="G9" s="11"/>
      <c r="H9" s="11"/>
      <c r="I9" s="11"/>
      <c r="J9" s="11"/>
      <c r="K9" s="11"/>
      <c r="L9" s="11"/>
      <c r="M9" s="11"/>
      <c r="N9" s="11"/>
      <c r="O9" s="13"/>
    </row>
    <row r="10" spans="1:15" ht="54" customHeight="1">
      <c r="A10" s="11"/>
      <c r="B10" s="11"/>
      <c r="C10" s="11"/>
      <c r="D10" s="11"/>
      <c r="E10" s="11"/>
      <c r="F10" s="11"/>
      <c r="G10" s="11"/>
      <c r="H10" s="11"/>
      <c r="I10" s="11"/>
      <c r="J10" s="11"/>
      <c r="K10" s="11"/>
      <c r="L10" s="11"/>
      <c r="M10" s="11"/>
      <c r="N10" s="11"/>
      <c r="O10" s="13"/>
    </row>
    <row r="11" spans="1:15" ht="54" customHeight="1">
      <c r="A11" s="11"/>
      <c r="B11" s="11"/>
      <c r="C11" s="11"/>
      <c r="D11" s="11"/>
      <c r="E11" s="11"/>
      <c r="F11" s="11"/>
      <c r="G11" s="11"/>
      <c r="H11" s="11"/>
      <c r="I11" s="11"/>
      <c r="J11" s="11"/>
      <c r="K11" s="11"/>
      <c r="L11" s="11"/>
      <c r="M11" s="11"/>
      <c r="N11" s="11"/>
      <c r="O11" s="13"/>
    </row>
    <row r="12" spans="1:15" ht="54" customHeight="1">
      <c r="A12" s="11"/>
      <c r="B12" s="11"/>
      <c r="C12" s="11"/>
      <c r="D12" s="11"/>
      <c r="E12" s="11"/>
      <c r="F12" s="11"/>
      <c r="G12" s="11"/>
      <c r="H12" s="11"/>
      <c r="I12" s="11"/>
      <c r="J12" s="11"/>
      <c r="K12" s="11"/>
      <c r="L12" s="11"/>
      <c r="M12" s="11"/>
      <c r="N12" s="11"/>
      <c r="O12" s="13"/>
    </row>
    <row r="13" spans="1:15" ht="54" customHeight="1">
      <c r="A13" s="11"/>
      <c r="B13" s="11"/>
      <c r="C13" s="11"/>
      <c r="D13" s="11"/>
      <c r="E13" s="11"/>
      <c r="F13" s="11"/>
      <c r="G13" s="11"/>
      <c r="H13" s="11"/>
      <c r="I13" s="11"/>
      <c r="J13" s="11"/>
      <c r="K13" s="11"/>
      <c r="L13" s="11"/>
      <c r="M13" s="11"/>
      <c r="N13" s="11"/>
      <c r="O13" s="13"/>
    </row>
    <row r="14" spans="1:15" ht="54" customHeight="1">
      <c r="A14" s="11"/>
      <c r="B14" s="11"/>
      <c r="C14" s="11"/>
      <c r="D14" s="11"/>
      <c r="E14" s="11"/>
      <c r="F14" s="11"/>
      <c r="G14" s="11"/>
      <c r="H14" s="11"/>
      <c r="I14" s="11"/>
      <c r="J14" s="11"/>
      <c r="K14" s="11"/>
      <c r="L14" s="11"/>
      <c r="M14" s="11"/>
      <c r="N14" s="11"/>
      <c r="O14" s="13"/>
    </row>
    <row r="15" spans="1:15" ht="54" customHeight="1">
      <c r="A15" s="11"/>
      <c r="B15" s="11"/>
      <c r="C15" s="11"/>
      <c r="D15" s="11"/>
      <c r="E15" s="11"/>
      <c r="F15" s="11"/>
      <c r="G15" s="11"/>
      <c r="H15" s="11"/>
      <c r="I15" s="11"/>
      <c r="J15" s="11"/>
      <c r="K15" s="11"/>
      <c r="L15" s="11"/>
      <c r="M15" s="11"/>
      <c r="N15" s="11"/>
      <c r="O15" s="13"/>
    </row>
    <row r="16" spans="1:15" ht="54" customHeight="1">
      <c r="A16" s="11"/>
      <c r="B16" s="11"/>
      <c r="C16" s="11"/>
      <c r="D16" s="11"/>
      <c r="E16" s="11"/>
      <c r="F16" s="11"/>
      <c r="G16" s="11"/>
      <c r="H16" s="11"/>
      <c r="I16" s="11"/>
      <c r="J16" s="11"/>
      <c r="K16" s="11"/>
      <c r="L16" s="11"/>
      <c r="M16" s="11"/>
      <c r="N16" s="11"/>
      <c r="O16" s="13"/>
    </row>
    <row r="17" spans="1:15" ht="54" customHeight="1">
      <c r="A17" s="11"/>
      <c r="B17" s="11"/>
      <c r="C17" s="11"/>
      <c r="D17" s="11"/>
      <c r="E17" s="11"/>
      <c r="F17" s="11"/>
      <c r="G17" s="11"/>
      <c r="H17" s="11"/>
      <c r="I17" s="11"/>
      <c r="J17" s="11"/>
      <c r="K17" s="11"/>
      <c r="L17" s="11"/>
      <c r="M17" s="11"/>
      <c r="N17" s="11"/>
      <c r="O17" s="13"/>
    </row>
    <row r="18" spans="1:15" ht="54" customHeight="1">
      <c r="A18" s="11"/>
      <c r="B18" s="11"/>
      <c r="C18" s="11"/>
      <c r="D18" s="11"/>
      <c r="E18" s="11"/>
      <c r="F18" s="11"/>
      <c r="G18" s="11"/>
      <c r="H18" s="11"/>
      <c r="I18" s="11"/>
      <c r="J18" s="11"/>
      <c r="K18" s="11"/>
      <c r="L18" s="11"/>
      <c r="M18" s="11"/>
      <c r="N18" s="11"/>
      <c r="O18" s="13"/>
    </row>
    <row r="19" spans="1:15" ht="54" customHeight="1">
      <c r="A19" s="11"/>
      <c r="B19" s="11"/>
      <c r="C19" s="11"/>
      <c r="D19" s="11"/>
      <c r="E19" s="11"/>
      <c r="F19" s="11"/>
      <c r="G19" s="11"/>
      <c r="H19" s="11"/>
      <c r="I19" s="11"/>
      <c r="J19" s="11"/>
      <c r="K19" s="11"/>
      <c r="L19" s="11"/>
      <c r="M19" s="11"/>
      <c r="N19" s="11"/>
      <c r="O19" s="13"/>
    </row>
    <row r="20" spans="1:15" ht="54" customHeight="1">
      <c r="A20" s="11"/>
      <c r="B20" s="11"/>
      <c r="C20" s="11"/>
      <c r="D20" s="11"/>
      <c r="E20" s="11"/>
      <c r="F20" s="11"/>
      <c r="G20" s="11"/>
      <c r="H20" s="11"/>
      <c r="I20" s="11"/>
      <c r="J20" s="11"/>
      <c r="K20" s="11"/>
      <c r="L20" s="11"/>
      <c r="M20" s="11"/>
      <c r="N20" s="11"/>
      <c r="O20" s="13"/>
    </row>
    <row r="21" spans="1:15" ht="54" customHeight="1">
      <c r="A21" s="11"/>
      <c r="B21" s="11"/>
      <c r="C21" s="11"/>
      <c r="D21" s="11"/>
      <c r="E21" s="11"/>
      <c r="F21" s="11"/>
      <c r="G21" s="11"/>
      <c r="H21" s="11"/>
      <c r="I21" s="11"/>
      <c r="J21" s="11"/>
      <c r="K21" s="11"/>
      <c r="L21" s="11"/>
      <c r="M21" s="11"/>
      <c r="N21" s="11"/>
      <c r="O21" s="13"/>
    </row>
    <row r="22" spans="1:15" ht="54" customHeight="1">
      <c r="A22" s="11"/>
      <c r="B22" s="11"/>
      <c r="C22" s="11"/>
      <c r="D22" s="11"/>
      <c r="E22" s="11"/>
      <c r="F22" s="11"/>
      <c r="G22" s="11"/>
      <c r="H22" s="11"/>
      <c r="I22" s="11"/>
      <c r="J22" s="11"/>
      <c r="K22" s="11"/>
      <c r="L22" s="11"/>
      <c r="M22" s="11"/>
      <c r="N22" s="11"/>
      <c r="O22" s="13"/>
    </row>
    <row r="23" spans="1:15" ht="54" customHeight="1">
      <c r="A23" s="11"/>
      <c r="B23" s="11"/>
      <c r="C23" s="11"/>
      <c r="D23" s="11"/>
      <c r="E23" s="11"/>
      <c r="F23" s="11"/>
      <c r="G23" s="11"/>
      <c r="H23" s="11"/>
      <c r="I23" s="11"/>
      <c r="J23" s="11"/>
      <c r="K23" s="11"/>
      <c r="L23" s="11"/>
      <c r="M23" s="11"/>
      <c r="N23" s="11"/>
      <c r="O23" s="13"/>
    </row>
    <row r="24" spans="1:15" ht="54" customHeight="1">
      <c r="A24" s="11"/>
      <c r="B24" s="11"/>
      <c r="C24" s="11"/>
      <c r="D24" s="11"/>
      <c r="E24" s="11"/>
      <c r="F24" s="11"/>
      <c r="G24" s="11"/>
      <c r="H24" s="11"/>
      <c r="I24" s="11"/>
      <c r="J24" s="11"/>
      <c r="K24" s="11"/>
      <c r="L24" s="11"/>
      <c r="M24" s="11"/>
      <c r="N24" s="11"/>
      <c r="O24" s="13"/>
    </row>
    <row r="25" spans="1:15" ht="54" customHeight="1">
      <c r="A25" s="11"/>
      <c r="B25" s="11"/>
      <c r="C25" s="11"/>
      <c r="D25" s="11"/>
      <c r="E25" s="11"/>
      <c r="F25" s="11"/>
      <c r="G25" s="11"/>
      <c r="H25" s="11"/>
      <c r="I25" s="11"/>
      <c r="J25" s="11"/>
      <c r="K25" s="11"/>
      <c r="L25" s="11"/>
      <c r="M25" s="11"/>
      <c r="N25" s="11"/>
      <c r="O25" s="13"/>
    </row>
    <row r="26" spans="1:15" ht="54" customHeight="1">
      <c r="A26" s="11"/>
      <c r="B26" s="11"/>
      <c r="C26" s="11"/>
      <c r="D26" s="11"/>
      <c r="E26" s="11"/>
      <c r="F26" s="11"/>
      <c r="G26" s="11"/>
      <c r="H26" s="11"/>
      <c r="I26" s="11"/>
      <c r="J26" s="11"/>
      <c r="K26" s="11"/>
      <c r="L26" s="11"/>
      <c r="M26" s="11"/>
      <c r="N26" s="11"/>
      <c r="O26" s="13"/>
    </row>
    <row r="27" spans="1:15" ht="54" customHeight="1">
      <c r="A27" s="11"/>
      <c r="B27" s="11"/>
      <c r="C27" s="11"/>
      <c r="D27" s="11"/>
      <c r="E27" s="11"/>
      <c r="F27" s="11"/>
      <c r="G27" s="11"/>
      <c r="H27" s="11"/>
      <c r="I27" s="11"/>
      <c r="J27" s="11"/>
      <c r="K27" s="11"/>
      <c r="L27" s="11"/>
      <c r="M27" s="11"/>
      <c r="N27" s="11"/>
      <c r="O27" s="13"/>
    </row>
    <row r="28" spans="1:15" ht="54" customHeight="1">
      <c r="A28" s="11"/>
      <c r="B28" s="11"/>
      <c r="C28" s="11"/>
      <c r="D28" s="11"/>
      <c r="E28" s="11"/>
      <c r="F28" s="11"/>
      <c r="G28" s="11"/>
      <c r="H28" s="11"/>
      <c r="I28" s="11"/>
      <c r="J28" s="11"/>
      <c r="K28" s="11"/>
      <c r="L28" s="11"/>
      <c r="M28" s="11"/>
      <c r="N28" s="11"/>
      <c r="O28" s="13"/>
    </row>
    <row r="29" spans="1:15" ht="54" customHeight="1">
      <c r="A29" s="11"/>
      <c r="B29" s="11"/>
      <c r="C29" s="11"/>
      <c r="D29" s="11"/>
      <c r="E29" s="11"/>
      <c r="F29" s="11"/>
      <c r="G29" s="11"/>
      <c r="H29" s="11"/>
      <c r="I29" s="11"/>
      <c r="J29" s="11"/>
      <c r="K29" s="11"/>
      <c r="L29" s="11"/>
      <c r="M29" s="11"/>
      <c r="N29" s="11"/>
      <c r="O29" s="13"/>
    </row>
    <row r="30" spans="1:15" ht="54" customHeight="1">
      <c r="A30" s="11"/>
      <c r="B30" s="11"/>
      <c r="C30" s="11"/>
      <c r="D30" s="11"/>
      <c r="E30" s="11"/>
      <c r="F30" s="11"/>
      <c r="G30" s="11"/>
      <c r="H30" s="11"/>
      <c r="I30" s="11"/>
      <c r="J30" s="11"/>
      <c r="K30" s="11"/>
      <c r="L30" s="11"/>
      <c r="M30" s="11"/>
      <c r="N30" s="11"/>
      <c r="O30" s="13"/>
    </row>
  </sheetData>
  <mergeCells count="2">
    <mergeCell ref="A1:O1"/>
    <mergeCell ref="A2:O2"/>
  </mergeCells>
  <dataValidations count="3">
    <dataValidation type="list" sqref="E6:E30" xr:uid="{00000000-0002-0000-0600-000000000000}">
      <formula1>"S0-Critical,S1-High,S2-Medium,S3-Low"</formula1>
    </dataValidation>
    <dataValidation type="list" sqref="F6:F30" xr:uid="{00000000-0002-0000-0600-000001000000}">
      <formula1>"P0,P1,P2"</formula1>
    </dataValidation>
    <dataValidation type="list" sqref="G6:G30" xr:uid="{00000000-0002-0000-0600-000002000000}">
      <formula1>"New,Assigned,Fixed,Ready for Retest,Reopened,Closed,Deferred"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Tong quan</vt:lpstr>
      <vt:lpstr>Cau hinh</vt:lpstr>
      <vt:lpstr>Phan tich</vt:lpstr>
      <vt:lpstr>Test Cases</vt:lpstr>
      <vt:lpstr>Truy vet</vt:lpstr>
      <vt:lpstr>Du lieu test</vt:lpstr>
      <vt:lpstr>Defect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2026-08-17T07:17:08Z</dcterms:modified>
</cp:coreProperties>
</file>