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Code\HuaMei\App_noi\be\9_10th8\speaking-ai-nextjs-backend\outputs\20260817-innotrik-voice-expected-result\"/>
    </mc:Choice>
  </mc:AlternateContent>
  <xr:revisionPtr revIDLastSave="0" documentId="13_ncr:1_{E49D48EC-A49D-44F5-B83B-E5B8DF870C49}" xr6:coauthVersionLast="47" xr6:coauthVersionMax="47" xr10:uidLastSave="{00000000-0000-0000-0000-000000000000}"/>
  <bookViews>
    <workbookView xWindow="-108" yWindow="-108" windowWidth="23256" windowHeight="12576" xr2:uid="{00000000-000D-0000-FFFF-FFFF00000000}"/>
  </bookViews>
  <sheets>
    <sheet name="Test case" sheetId="3" r:id="rId1"/>
    <sheet name="Voice"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5" l="1"/>
  <c r="D8" i="5"/>
  <c r="E8" i="5" s="1"/>
  <c r="G7" i="5"/>
  <c r="G6" i="5"/>
  <c r="G5" i="5"/>
  <c r="G4" i="5"/>
  <c r="G3" i="5"/>
  <c r="G2" i="5"/>
  <c r="G8" i="5" l="1"/>
</calcChain>
</file>

<file path=xl/sharedStrings.xml><?xml version="1.0" encoding="utf-8"?>
<sst xmlns="http://schemas.openxmlformats.org/spreadsheetml/2006/main" count="754" uniqueCount="558">
  <si>
    <t xml:space="preserve">INNOTRIK — TEST CASE </t>
  </si>
  <si>
    <t>Tách riêng Button Main, luồng sau Main và các tính năng độc lập. Dùng bộ lọc tại hàng tiêu đề để tạo test suite theo phạm vi. Đã bổ sung 69 test case còn thiếu từ Field Test Plan v1.0.</t>
  </si>
  <si>
    <t>Nhóm chức năng</t>
  </si>
  <si>
    <t>Ưu tiên</t>
  </si>
  <si>
    <t>TC_ID</t>
  </si>
  <si>
    <t>Test scenario</t>
  </si>
  <si>
    <t>Test steps</t>
  </si>
  <si>
    <t>Test data</t>
  </si>
  <si>
    <t>Expected result</t>
  </si>
  <si>
    <t>Notes</t>
  </si>
  <si>
    <t>Button Main &amp; Trợ lý Bi cô</t>
  </si>
  <si>
    <t>P1 - High</t>
  </si>
  <si>
    <t>P0 - Critical</t>
  </si>
  <si>
    <t>TC-003</t>
  </si>
  <si>
    <t>Nhấn Main tại trang chủ</t>
  </si>
  <si>
    <t>1. Nhấn Main một lần
2. Nghe toàn bộ phản hồi</t>
  </si>
  <si>
    <t>Tap Main</t>
  </si>
  <si>
    <t>Bi cô nói đúng menu chức năng; sau khi nói xong phát tiếng tít rồi mới mở micro.</t>
  </si>
  <si>
    <t>TC-004</t>
  </si>
  <si>
    <t>Không nghe người dùng trong lúc Bi cô đang nói</t>
  </si>
  <si>
    <t>1. Nhấn Main
2. Nói chen khi Bi cô chưa nói xong
3. Nói lại sau tiếng tít</t>
  </si>
  <si>
    <t>Nói chen trước beep</t>
  </si>
  <si>
    <t>Câu nói chen không bị xử lý; chỉ câu sau tiếng tít được nhận diện.</t>
  </si>
  <si>
    <t>TC-005</t>
  </si>
  <si>
    <t>Nhấn Main nhanh hai lần</t>
  </si>
  <si>
    <t>1. Nhấn Main hai lần trong 300 ms
2. Quan sát audio và micro</t>
  </si>
  <si>
    <t>Double tap</t>
  </si>
  <si>
    <t>Chỉ có một phiên trợ lý; không phát hai câu đồng thời; không mở hai micro.</t>
  </si>
  <si>
    <t>TC-006</t>
  </si>
  <si>
    <t>Nói yêu cầu không thuộc menu</t>
  </si>
  <si>
    <t>1. Nhấn Main
2. Sau tiếng tít nói câu không liên quan</t>
  </si>
  <si>
    <t>Con muốn ăn cơm</t>
  </si>
  <si>
    <t>Không điều hướng sai; Bi cô hỏi lại hoặc đưa hướng dẫn lựa chọn hợp lệ.</t>
  </si>
  <si>
    <t>TC-007</t>
  </si>
  <si>
    <t>Không nói trong cửa sổ lệnh đầu tiên</t>
  </si>
  <si>
    <t>1. Nhấn Main
2. Im lặng sau tiếng tít</t>
  </si>
  <si>
    <t>Im lặng ≥ 6 giây</t>
  </si>
  <si>
    <t>Bi cô hỏi lại “Con muốn làm gì?” và mở một cửa sổ nghe mới.</t>
  </si>
  <si>
    <t>TC-008</t>
  </si>
  <si>
    <t>Tiếp tục im lặng sau lần hỏi lại</t>
  </si>
  <si>
    <t>1. Nhấn Main
2. Im lặng ở cả hai cửa sổ nghe</t>
  </si>
  <si>
    <t>Im lặng hai lần</t>
  </si>
  <si>
    <t>Phiên Main kết thúc; nút trở về trạng thái ban đầu; micro được giải phóng.</t>
  </si>
  <si>
    <t>TC-009</t>
  </si>
  <si>
    <t>Không nhận lại chính câu Bi cô vừa phát</t>
  </si>
  <si>
    <t>1. Nhấn Main
2. Để loa ngoài hoạt động bình thường
3. Không nói gì</t>
  </si>
  <si>
    <t>Prompt phát qua loa</t>
  </si>
  <si>
    <t>Prompt không bị ASR coi là lệnh của trẻ; không tự điều hướng.</t>
  </si>
  <si>
    <t>TC-010</t>
  </si>
  <si>
    <t>Nhấn giữ Main lần 1 trong bài học</t>
  </si>
  <si>
    <t>1. Nhấn giữ Main
2. Quan sát ghi âm và audio</t>
  </si>
  <si>
    <t>Long press #1</t>
  </si>
  <si>
    <t>Bài học và ghi âm dừng; ứng dụng nói “Đã dừng”; không gửi bản ghi dở lên backend.</t>
  </si>
  <si>
    <t>TC-011</t>
  </si>
  <si>
    <t>Nhấn giữ Main lần 2 để tiếp tục</t>
  </si>
  <si>
    <t>1. Nhấn giữ Main lần nữa
2. Chờ phản hồi
3. Quan sát micro</t>
  </si>
  <si>
    <t>Long press #2</t>
  </si>
  <si>
    <t>Ứng dụng nói “Cùng học tiếp nhé” và tự động mở một lượt ghi âm mới.</t>
  </si>
  <si>
    <t>TC-012</t>
  </si>
  <si>
    <t>Chọn Luyện nói</t>
  </si>
  <si>
    <t>1. Nhấn Main
2. Nói Con muốn luyện nói</t>
  </si>
  <si>
    <t>Con muốn luyện nói</t>
  </si>
  <si>
    <t>Mở đúng luồng Luyện nói; Bi cô nói “Bắt đầu nói đi con”.</t>
  </si>
  <si>
    <t>TC-013</t>
  </si>
  <si>
    <t>Chọn Học chủ đề</t>
  </si>
  <si>
    <t>1. Nhấn Main
2. Nói Con muốn học theo chủ đề</t>
  </si>
  <si>
    <t>Con muốn học theo chủ đề</t>
  </si>
  <si>
    <t>Bi cô hỏi tuổi và tiếp tục nghe sau tiếng tít.</t>
  </si>
  <si>
    <t>TC-014</t>
  </si>
  <si>
    <t>Chọn Từ vựng</t>
  </si>
  <si>
    <t>1. Nhấn Main
2. Nói Con muốn học từ vựng</t>
  </si>
  <si>
    <t>Con muốn học từ vựng</t>
  </si>
  <si>
    <t>Điều hướng đúng trang Từ vựng; không mở Luyện nói hoặc Chủ đề.</t>
  </si>
  <si>
    <t>TC-015</t>
  </si>
  <si>
    <t>Chọn Dịch tiếng Anh</t>
  </si>
  <si>
    <t>1. Nhấn Main
2. Nói Con muốn dịch sang tiếng Anh</t>
  </si>
  <si>
    <t>Con muốn dịch sang tiếng Anh</t>
  </si>
  <si>
    <t>Bi cô hỏi chọn Dịch một câu hay Dịch liên tục.</t>
  </si>
  <si>
    <t>P2 - Medium</t>
  </si>
  <si>
    <t>TC-016</t>
  </si>
  <si>
    <t>Câu lệnh không dấu</t>
  </si>
  <si>
    <t>1. Nhấn Main
2. Nói câu không dấu qua nguồn ASR giả lập</t>
  </si>
  <si>
    <t>con muon hoc chu de</t>
  </si>
  <si>
    <t>Ý định được nhận diện giống câu có dấu.</t>
  </si>
  <si>
    <t>Điều hướng học chủ đề</t>
  </si>
  <si>
    <t>TC-020</t>
  </si>
  <si>
    <t>Số lượng chủ đề khớp nhóm tuổi</t>
  </si>
  <si>
    <t>1. Nghe câu hỏi chọn chủ đề
2. Đối chiếu danh sách UI</t>
  </si>
  <si>
    <t>N = số chủ đề nhóm tuổi</t>
  </si>
  <si>
    <t>Số N Bi cô nói bằng đúng số chủ đề đang hiển thị.</t>
  </si>
  <si>
    <t>TC-021</t>
  </si>
  <si>
    <t>Chọn chủ đề hợp lệ bằng số</t>
  </si>
  <si>
    <t>1. Nói Con chọn chủ đề số 3</t>
  </si>
  <si>
    <t>Chủ đề số 3</t>
  </si>
  <si>
    <t>Mở đúng chủ đề số 3 và đọc đúng số bài học.</t>
  </si>
  <si>
    <t>TC-022</t>
  </si>
  <si>
    <t>Chọn số chủ đề vượt phạm vi</t>
  </si>
  <si>
    <t>1. Nói Chủ đề số 99</t>
  </si>
  <si>
    <t>99</t>
  </si>
  <si>
    <t>Không điều hướng; Bi cô nêu phạm vi hợp lệ và tiếp tục nghe.</t>
  </si>
  <si>
    <t>TC-023</t>
  </si>
  <si>
    <t>Số lượng bài khớp nội dung chủ đề</t>
  </si>
  <si>
    <t>1. Nghe câu hỏi chọn bài
2. Đối chiếu danh sách bài</t>
  </si>
  <si>
    <t>M = số bài</t>
  </si>
  <si>
    <t>Số bài Bi cô nói khớp dữ liệu chủ đề.</t>
  </si>
  <si>
    <t>TC-024</t>
  </si>
  <si>
    <t>Chọn bài hợp lệ</t>
  </si>
  <si>
    <t>1. Nói Con học bài số 1</t>
  </si>
  <si>
    <t>Bài số 1</t>
  </si>
  <si>
    <t>Bi cô nói “Bắt đầu học thôi con”; sau đó mở đúng bài số 1.</t>
  </si>
  <si>
    <t>TC-025</t>
  </si>
  <si>
    <t>Chọn bài vượt phạm vi</t>
  </si>
  <si>
    <t>1. Nói Bài số 10 khi chủ đề có 2 bài</t>
  </si>
  <si>
    <t>10</t>
  </si>
  <si>
    <t>Không mở bài sai; Bi cô nêu phạm vi bài hợp lệ.</t>
  </si>
  <si>
    <t>TC-026</t>
  </si>
  <si>
    <t>Nói đồng thời chủ đề và bài</t>
  </si>
  <si>
    <t>1. Kích hoạt trợ lý
2. Nói Học chủ đề số 3 bài số 1</t>
  </si>
  <si>
    <t>Chủ đề 3, bài 1</t>
  </si>
  <si>
    <t>Mở đúng chủ đề và bài tương ứng hoặc dẫn dắt không mất ngữ cảnh.</t>
  </si>
  <si>
    <t>TC-028</t>
  </si>
  <si>
    <t>Mất mạng khi đang tải nội dung chủ đề</t>
  </si>
  <si>
    <t>1. Tắt mạng
2. Chọn chủ đề</t>
  </si>
  <si>
    <t>Offline during load</t>
  </si>
  <si>
    <t>Không crash; Bi cô báo chưa tải được và kết thúc/cho thử lại rõ ràng.</t>
  </si>
  <si>
    <t>Luyện nói</t>
  </si>
  <si>
    <t>TC-029</t>
  </si>
  <si>
    <t>Vào Luyện nói từ Main</t>
  </si>
  <si>
    <t>1. Nhấn Main
2. Chọn Luyện nói</t>
  </si>
  <si>
    <t>Bi cô nói “Bắt đầu nói đi con”; phát beep; chuẩn bị micro.</t>
  </si>
  <si>
    <t>TC-030</t>
  </si>
  <si>
    <t>Micro tự mở cho câu đầu</t>
  </si>
  <si>
    <t>1. Chờ Bi cô và beep
2. Quan sát trạng thái micro</t>
  </si>
  <si>
    <t>Không nhấn thêm</t>
  </si>
  <si>
    <t>Micro tự mở đúng một lần; không cần nhấn nút Nói của tính năng cũ.</t>
  </si>
  <si>
    <t>TC-031</t>
  </si>
  <si>
    <t>Tự động dừng khi trẻ nói xong</t>
  </si>
  <si>
    <t>1. Nói một câu
2. Dừng nói</t>
  </si>
  <si>
    <t>Con muốn uống nước</t>
  </si>
  <si>
    <t>Ứng dụng tự kết thúc ghi âm sau khoảng lặng; không cần nhấn Main để dừng câu.</t>
  </si>
  <si>
    <t>TC-032</t>
  </si>
  <si>
    <t>Hiển thị câu gốc và câu dịch</t>
  </si>
  <si>
    <t>1. Chờ xử lý hoàn tất
2. Kiểm tra kết quả</t>
  </si>
  <si>
    <t>Hiển thị đúng câu tiếng Việt và bản dịch tiếng Anh; không đảo ngôn ngữ.</t>
  </si>
  <si>
    <t>TC-033</t>
  </si>
  <si>
    <t>Phát audio câu kết quả</t>
  </si>
  <si>
    <t>1. Nghe audio tự phát
2. Bấm nghe lại nếu có</t>
  </si>
  <si>
    <t>I want to drink water.</t>
  </si>
  <si>
    <t>Audio tiếng Anh phát rõ; nội dung khớp câu dịch; không phát chồng TTS khác.</t>
  </si>
  <si>
    <t>TC-034</t>
  </si>
  <si>
    <t>Tự tạo lượt nói mới sau audio</t>
  </si>
  <si>
    <t>1. Chờ beep
2. Nói câu tiếp theo</t>
  </si>
  <si>
    <t>Câu thứ hai</t>
  </si>
  <si>
    <t>Micro tự mở lại sau beep; câu thứ hai tạo kết quả riêng, không nối vào câu trước.</t>
  </si>
  <si>
    <t>TC-035</t>
  </si>
  <si>
    <t>Im lặng 10 giây ở trạng thái sẵn sàng</t>
  </si>
  <si>
    <t>1. Không nói trong 10 giây</t>
  </si>
  <si>
    <t>Silence 10s</t>
  </si>
  <si>
    <t>Ứng dụng nói “Tạm biệt con nhé”, thoát Luyện nói và trả Main về trạng thái ban đầu.</t>
  </si>
  <si>
    <t>TC-036</t>
  </si>
  <si>
    <t>Nói Còn cái gì khác để học không</t>
  </si>
  <si>
    <t>1. Nói Còn cái gì khác để học không</t>
  </si>
  <si>
    <t>Câu chuyển chức năng</t>
  </si>
  <si>
    <t>Không dịch câu này; thoát Luyện nói và mở menu Chủ đề/Từ vựng/Dịch.</t>
  </si>
  <si>
    <t>TC-037</t>
  </si>
  <si>
    <t>Chọn Chủ đề từ menu học khác</t>
  </si>
  <si>
    <t>1. Nói Học theo chủ đề</t>
  </si>
  <si>
    <t>Học theo chủ đề</t>
  </si>
  <si>
    <t>Bắt đầu luồng hỏi tuổi; không quay lại dịch câu.</t>
  </si>
  <si>
    <t>TC-038</t>
  </si>
  <si>
    <t>Im lặng không gây lỗi thiếu metadata PCM</t>
  </si>
  <si>
    <t>1. Mở micro
2. Im lặng đến khi timeout</t>
  </si>
  <si>
    <t>No PCM speech frames</t>
  </si>
  <si>
    <t>Không hiển thị lỗi “Thiếu metadata PCM khi finalize Batch Chunks”; kết thúc thân thiện.</t>
  </si>
  <si>
    <t>TC-039</t>
  </si>
  <si>
    <t>Không kết nối được backend</t>
  </si>
  <si>
    <t>1. Bắt đầu một lượt nói
2. Chờ xử lý</t>
  </si>
  <si>
    <t>Connection refused/timeout</t>
  </si>
  <si>
    <t>Không hiển thị SocketException hoặc 127.0.0.1; có thông báo thân thiện.</t>
  </si>
  <si>
    <t>TC-040</t>
  </si>
  <si>
    <t>Không thu lại audio kết quả</t>
  </si>
  <si>
    <t>1. Nói một câu
2. Để audio kết quả phát
3. Không nói thêm</t>
  </si>
  <si>
    <t>Speaker feedback</t>
  </si>
  <si>
    <t>Audio của ứng dụng không bị ghi thành lượt nói tiếp theo.</t>
  </si>
  <si>
    <t>Dịch tiếng Anh</t>
  </si>
  <si>
    <t>TC-041</t>
  </si>
  <si>
    <t>Chọn Dịch một câu</t>
  </si>
  <si>
    <t>1. Nhấn Main
2. Chọn Dịch
3. Nói Dịch một câu</t>
  </si>
  <si>
    <t>Dịch một câu</t>
  </si>
  <si>
    <t>Bi cô hướng dẫn nói một câu và mở micro sau beep.</t>
  </si>
  <si>
    <t>TC-042</t>
  </si>
  <si>
    <t>Dịch câu tiếng Việt hợp lệ</t>
  </si>
  <si>
    <t>1. Nói Hôm nay con đi học
2. Chờ kết quả</t>
  </si>
  <si>
    <t>Hôm nay con đi học</t>
  </si>
  <si>
    <t>Bản dịch tiếng Anh đúng nghĩa; hiển thị và phát audio một lần.</t>
  </si>
  <si>
    <t>TC-043</t>
  </si>
  <si>
    <t>Câu có tên riêng và dấu câu</t>
  </si>
  <si>
    <t>1. Nói Xin chào, con là An
2. Kiểm tra kết quả</t>
  </si>
  <si>
    <t>Xin chào, con là An.</t>
  </si>
  <si>
    <t>Giữ đúng tên An và ngữ nghĩa; không dịch sai tên riêng.</t>
  </si>
  <si>
    <t>TC-044</t>
  </si>
  <si>
    <t>Câu dài gần giới hạn ghi âm</t>
  </si>
  <si>
    <t>1. Nói liên tục một câu dài nhưng rõ
2. Chờ xử lý</t>
  </si>
  <si>
    <t>10–15 giây giọng nói</t>
  </si>
  <si>
    <t>Ứng dụng dừng an toàn, gửi đủ audio và hiển thị một kết quả hoàn chỉnh.</t>
  </si>
  <si>
    <t>TC-045</t>
  </si>
  <si>
    <t>Im lặng</t>
  </si>
  <si>
    <t>1. Không nói sau beep</t>
  </si>
  <si>
    <t>Silence</t>
  </si>
  <si>
    <t>Không gửi audio rỗng; không báo metadata PCM; hướng dẫn nói lại hoặc kết thúc.</t>
  </si>
  <si>
    <t>TC-046</t>
  </si>
  <si>
    <t>Dịch hai câu liên tiếp</t>
  </si>
  <si>
    <t>1. Nói câu 1
2. Chờ audio
3. Nói câu 2 sau beep</t>
  </si>
  <si>
    <t>Hai câu khác nhau</t>
  </si>
  <si>
    <t>Tạo hai kết quả độc lập theo đúng thứ tự; micro tự chuẩn bị giữa các lượt.</t>
  </si>
  <si>
    <t>TC-047</t>
  </si>
  <si>
    <t>Mất mạng trong lúc upload</t>
  </si>
  <si>
    <t>1. Bắt đầu nói
2. Ngắt mạng khi đang xử lý</t>
  </si>
  <si>
    <t>Network interrupted</t>
  </si>
  <si>
    <t>Không treo vô hạn; phiên được hủy/đánh dấu lỗi; có thể thử lại sau khi có mạng.</t>
  </si>
  <si>
    <t>Chủ đề &amp; lời mở đầu</t>
  </si>
  <si>
    <t>TC-048</t>
  </si>
  <si>
    <t>Hiển thị đúng nhóm tuổi theo cấu hình trẻ</t>
  </si>
  <si>
    <t>1. Mở Chủ đề
2. Đối chiếu tab tuổi đang chọn</t>
  </si>
  <si>
    <t>Tuổi 4, 6, 9, 12, 14</t>
  </si>
  <si>
    <t>Mỗi tuổi chọn đúng nhóm 3–5, 6–7, 8–10, 11–12, 13–15.</t>
  </si>
  <si>
    <t>TC-049</t>
  </si>
  <si>
    <t>AI mở đúng thẻ chủ đề đã chọn</t>
  </si>
  <si>
    <t>1. Chọn chủ đề số 3 bằng giọng nói
2. Quan sát trang mở</t>
  </si>
  <si>
    <t>Chủ đề 3</t>
  </si>
  <si>
    <t>Tên, số thứ tự và danh sách bài thuộc đúng chủ đề 3.</t>
  </si>
  <si>
    <t>TC-050</t>
  </si>
  <si>
    <t>AI mở đúng bài và màn lời mở đầu</t>
  </si>
  <si>
    <t>1. Nói Bài số 1
2. Chờ Bi cô kết thúc
3. Quan sát màn tiếp theo</t>
  </si>
  <si>
    <t>Bài 1</t>
  </si>
  <si>
    <t>Mở LessonIntroScreen của bài 1; không bỏ qua thẳng vào luyện câu.</t>
  </si>
  <si>
    <t>TC-051</t>
  </si>
  <si>
    <t>Lời mở đầu sử dụng introAudioUrl</t>
  </si>
  <si>
    <t>1. Điều hướng bằng Bi cô đến My Name
2. Theo dõi URL/audio phát</t>
  </si>
  <si>
    <t>A067_T01_L01_OPEN.mp3</t>
  </si>
  <si>
    <t>Media player phát đúng introAudioUrl; nội dung nghe là file audio đã thu.</t>
  </si>
  <si>
    <t>TC-052</t>
  </si>
  <si>
    <t>Không dùng TTS của Bi cô thay lời mở đầu</t>
  </si>
  <si>
    <t>1. Mở bài bằng AI
2. Phân biệt giọng audio và TTS
3. Theo dõi log gọi TTS nếu có</t>
  </si>
  <si>
    <t>My Name</t>
  </si>
  <si>
    <t>Sau câu “Bắt đầu học thôi con”, lời mở đầu không gọi speakAndWait/TTS.</t>
  </si>
  <si>
    <t>TC-053</t>
  </si>
  <si>
    <t>Tự vào phần luyện sau khi intro audio kết thúc</t>
  </si>
  <si>
    <t>1. Mở bài
2. Không bấm Bỏ qua
3. Chờ audio kết thúc</t>
  </si>
  <si>
    <t>Audio intro hợp lệ</t>
  </si>
  <si>
    <t>Tự chuyển đúng một lần sang màn bài học; không dừng ở loading.</t>
  </si>
  <si>
    <t>TC-054</t>
  </si>
  <si>
    <t>introAudioUrl rỗng</t>
  </si>
  <si>
    <t>1. Mở bài
2. Quan sát trạng thái</t>
  </si>
  <si>
    <t>null</t>
  </si>
  <si>
    <t>Không dùng TTS; hiển thị “Không thể phát lời mở đầu” và cho phép Bỏ qua.</t>
  </si>
  <si>
    <t>TC-055</t>
  </si>
  <si>
    <t>Bài hát tuổi 6+ mở karaoke sau intro</t>
  </si>
  <si>
    <t>1. Mở bài hát
2. Chờ intro kết thúc
3. Chờ đếm ngược 3 giây</t>
  </si>
  <si>
    <t>Song lesson age 6+</t>
  </si>
  <si>
    <t>Mở karaoke; bài hát tự phát sau 3 giây; lời chạy đúng timeline.</t>
  </si>
  <si>
    <t>TC-056</t>
  </si>
  <si>
    <t>Nhóm 3–5 giữ luồng luyện câu cho bài hát</t>
  </si>
  <si>
    <t>1. Mở bài hát
2. Chờ intro</t>
  </si>
  <si>
    <t>Song lesson age 3–5</t>
  </si>
  <si>
    <t>Không mở karaoke dành cho trẻ lớn; đi vào luồng luyện từng câu hiện có.</t>
  </si>
  <si>
    <t>Bài học &amp; đánh giá câu nói</t>
  </si>
  <si>
    <t>TC-057</t>
  </si>
  <si>
    <t>Tự phát câu tiếng Anh hiện tại</t>
  </si>
  <si>
    <t>1. Vào một câu mới
2. Nghe audio mẫu</t>
  </si>
  <si>
    <t>Sentence audio URL</t>
  </si>
  <si>
    <t>Audio tiếng Anh đúng câu và chỉ phát một lần trước khi mời ghi âm.</t>
  </si>
  <si>
    <t>TC-058</t>
  </si>
  <si>
    <t>Nút nghe tiếng Việt phát đúng audio</t>
  </si>
  <si>
    <t>1. Bấm Nghe tiếng Việt
2. Đối chiếu nội dung</t>
  </si>
  <si>
    <t>Vietnamese audio URL</t>
  </si>
  <si>
    <t>Phát đúng câu tiếng Việt; không đổi tiến độ hoặc mở micro ngoài ý muốn.</t>
  </si>
  <si>
    <t>TC-059</t>
  </si>
  <si>
    <t>Beep phát trước khi bắt đầu ghi âm</t>
  </si>
  <si>
    <t>1. Chờ lời hướng dẫn kết thúc
2. Nghe beep
3. Quan sát micro</t>
  </si>
  <si>
    <t>Ready cue</t>
  </si>
  <si>
    <t>Beep phát đúng một lần; micro bắt đầu sau beep, không thu đuôi audio mẫu.</t>
  </si>
  <si>
    <t>TC-060</t>
  </si>
  <si>
    <t>Nói đúng từ Hello</t>
  </si>
  <si>
    <t>1. Nói Hello rõ ràng
2. Chờ đánh giá</t>
  </si>
  <si>
    <t>Hello</t>
  </si>
  <si>
    <t>Được đánh giá đúng; phát “Con làm tốt lắm”; chuyển câu tiếp.</t>
  </si>
  <si>
    <t>TC-061</t>
  </si>
  <si>
    <t>Nói đúng I'm An dù ngữ điệu khác</t>
  </si>
  <si>
    <t>1. Nói I'm An với ngữ điệu khác mẫu
2. Chờ đánh giá</t>
  </si>
  <si>
    <t>I'm An / I am An</t>
  </si>
  <si>
    <t>So khớp nội dung chữ; không bắt buộc ngữ điệu; phát chúc mừng.</t>
  </si>
  <si>
    <t>TC-062</t>
  </si>
  <si>
    <t>Không phân biệt hoa thường và dấu câu</t>
  </si>
  <si>
    <t>1. Nói hello
2. Chờ đánh giá</t>
  </si>
  <si>
    <t>hello vs Hello!</t>
  </si>
  <si>
    <t>Được coi là đúng sau chuẩn hóa; không yêu cầu nói lại.</t>
  </si>
  <si>
    <t>TC-063</t>
  </si>
  <si>
    <t>Nói câu tiếng Việt không liên quan</t>
  </si>
  <si>
    <t>1. Nói Con muốn ăn cơm
2. Chờ đánh giá</t>
  </si>
  <si>
    <t>Đánh giá sai; nói “Con tập trung học đi”; không phát chúc mừng.</t>
  </si>
  <si>
    <t>TC-064</t>
  </si>
  <si>
    <t>Audio im lặng hoặc không đủ dữ liệu</t>
  </si>
  <si>
    <t>1. Im lặng hoặc tạo audio rất ngắn
2. Chờ đánh giá</t>
  </si>
  <si>
    <t>Silence/unclear</t>
  </si>
  <si>
    <t>Phân loại Không rõ, không coi là sai; hướng dẫn thử lại; không lưu Luyện lại do câu sai.</t>
  </si>
  <si>
    <t>TC-065</t>
  </si>
  <si>
    <t>Sai lần đầu tự mở micro lại</t>
  </si>
  <si>
    <t>1. Nói sai
2. Nghe phản hồi
3. Quan sát micro</t>
  </si>
  <si>
    <t>Wrong attempt #1</t>
  </si>
  <si>
    <t>Lưu câu vào Luyện lại; phát “Con tập trung học đi”; beep và tự mở lượt ghi mới.</t>
  </si>
  <si>
    <t>TC-066</t>
  </si>
  <si>
    <t>Sai lần thứ hai chuyển câu khác</t>
  </si>
  <si>
    <t>1. Nói sai lần 2
2. Nghe phản hồi</t>
  </si>
  <si>
    <t>Wrong attempt #2</t>
  </si>
  <si>
    <t>Nói “Mình cùng học câu khác nhé!” và chuyển sang câu tiếp theo, không lặp vô hạn.</t>
  </si>
  <si>
    <t>TC-067</t>
  </si>
  <si>
    <t>Câu đúng được lưu vào Ngôi sao</t>
  </si>
  <si>
    <t>1. Nói đúng
2. Mở Từ vựng → Ngôi sao</t>
  </si>
  <si>
    <t>Expected English</t>
  </si>
  <si>
    <t>Câu xuất hiện một lần trong Ngôi sao với tiếng Anh/Việt đúng.</t>
  </si>
  <si>
    <t>TC-068</t>
  </si>
  <si>
    <t>Câu sai được lưu vào Luyện lại</t>
  </si>
  <si>
    <t>1. Nói sai lần đầu
2. Mở Từ vựng → Luyện lại</t>
  </si>
  <si>
    <t>Wrong English/Vietnamese</t>
  </si>
  <si>
    <t>Câu cần học xuất hiện một lần trong Luyện lại; không lưu câu trẻ nói sai làm nội dung học.</t>
  </si>
  <si>
    <t>TC-069</t>
  </si>
  <si>
    <t>Câu Luyện lại nói đúng ở lần sau</t>
  </si>
  <si>
    <t>1. Học lại câu
2. Nói đúng
3. Mở hai bộ sưu tập</t>
  </si>
  <si>
    <t>Retry then correct</t>
  </si>
  <si>
    <t>Câu được đánh dấu thành công/đưa vào Ngôi sao; không tạo bản ghi trùng.</t>
  </si>
  <si>
    <t>TC-075</t>
  </si>
  <si>
    <t>Phát lại bản ghi của trẻ</t>
  </si>
  <si>
    <t>1. Bấm phát bản ghi
2. Nghe hết audio</t>
  </si>
  <si>
    <t>Recorded child audio</t>
  </si>
  <si>
    <t>Phát đúng bản ghi hiện tại; thời lượng hiển thị hợp lý; không kích hoạt đánh giá lại.</t>
  </si>
  <si>
    <t>Button Main trong bài học</t>
  </si>
  <si>
    <t>TC-070</t>
  </si>
  <si>
    <t>Tiếp tục sau pause và nói đúng</t>
  </si>
  <si>
    <t>1. Nhấn giữ Main lần 2
2. Nói đúng khi micro tự mở</t>
  </si>
  <si>
    <t>Resume + correct</t>
  </si>
  <si>
    <t>Tạo lượt ghi mới; câu đúng được chúc mừng, không bị kết quả cũ ghi đè.</t>
  </si>
  <si>
    <t>TC-071</t>
  </si>
  <si>
    <t>Kết quả backend cũ về sau khi pause</t>
  </si>
  <si>
    <t>1. Gửi lượt ghi
2. Pause trước khi response về
3. Cho response cũ trả về</t>
  </si>
  <si>
    <t>Delayed evaluation</t>
  </si>
  <si>
    <t>Response cũ bị bỏ qua; không phát chúc mừng/nhắc sai sau khi đã pause.</t>
  </si>
  <si>
    <t>TC-072</t>
  </si>
  <si>
    <t>Một chạm Main hỏi có học nữa không</t>
  </si>
  <si>
    <t>1. Chạm Main một lần
2. Nghe phản hồi và beep</t>
  </si>
  <si>
    <t>Dừng luồng hiện tại an toàn; Bi cô hỏi “Con có muốn học nữa không?” rồi nghe Có/Không.</t>
  </si>
  <si>
    <t>TC-073</t>
  </si>
  <si>
    <t>Trả lời Có để tiếp tục học</t>
  </si>
  <si>
    <t>1. Nói Có hoặc Dạ có</t>
  </si>
  <si>
    <t>Có; Dạ có</t>
  </si>
  <si>
    <t>Bi cô nói “Tiếp tục học nhé con”; tự mở lượt ghi mới.</t>
  </si>
  <si>
    <t>TC-074</t>
  </si>
  <si>
    <t>Trả lời Không để thoát</t>
  </si>
  <si>
    <t>1. Nói Không hoặc Dạ không</t>
  </si>
  <si>
    <t>Không; Dạ không</t>
  </si>
  <si>
    <t>Bi cô nói “Tạm biệt con”; dừng audio/micro và quay về trang chủ.</t>
  </si>
  <si>
    <t>Cuối bài &amp; học lại chủ đề</t>
  </si>
  <si>
    <t>TC-076</t>
  </si>
  <si>
    <t>Nói Học lại</t>
  </si>
  <si>
    <t>1. Nói Học lại
2. Quan sát bài</t>
  </si>
  <si>
    <t>Học lại; Làm lại</t>
  </si>
  <si>
    <t>Bắt đầu lại từ câu 1; không nhân đôi tiến độ hoặc từ vựng.</t>
  </si>
  <si>
    <t>TC-077</t>
  </si>
  <si>
    <t>Nói Bài tiếp theo khi còn bài</t>
  </si>
  <si>
    <t>1. Nói Bài tiếp theo</t>
  </si>
  <si>
    <t>Bài tiếp theo</t>
  </si>
  <si>
    <t>Mở lời mở đầu bài kế tiếp, sau đó phát introAudioUrl của bài đó.</t>
  </si>
  <si>
    <t>TC-078</t>
  </si>
  <si>
    <t>Lựa chọn cuối bài không rõ</t>
  </si>
  <si>
    <t>1. Nói câu không liên quan</t>
  </si>
  <si>
    <t>Con thích màu xanh</t>
  </si>
  <si>
    <t>Bi cô nói “Nói lại lựa chọn của con nhé”; tiếp tục nghe; không tự chuyển bài.</t>
  </si>
  <si>
    <t>TC-079</t>
  </si>
  <si>
    <t>Bài cuối thông báo hoàn thành</t>
  </si>
  <si>
    <t>1. Chọn Bài tiếp theo sau khi hoàn thành
2. Nghe phản hồi</t>
  </si>
  <si>
    <t>Final lesson</t>
  </si>
  <si>
    <t>Thông báo hoàn thành chủ đề; quay về danh sách chủ đề.</t>
  </si>
  <si>
    <t>TC-080</t>
  </si>
  <si>
    <t>Chọn chủ đề hoàn thành</t>
  </si>
  <si>
    <t>1. Nói số chủ đề đã học</t>
  </si>
  <si>
    <t>Completed topic N</t>
  </si>
  <si>
    <t>Bi cô hỏi “Chủ đề số N con đã học rồi. Con có muốn học lại không?”</t>
  </si>
  <si>
    <t>TC-082</t>
  </si>
  <si>
    <t>Trả lời Không</t>
  </si>
  <si>
    <t>1. Nói Không/Dạ không</t>
  </si>
  <si>
    <t>Không mở chủ đề; Bi cô lặp câu “Có N chủ đề. Con muốn học chủ đề số mấy”.</t>
  </si>
  <si>
    <t>TC-083</t>
  </si>
  <si>
    <t>Chọn chủ đề chưa hoàn thành</t>
  </si>
  <si>
    <t>1. Nói số chủ đề chưa học</t>
  </si>
  <si>
    <t>Unfinished topic</t>
  </si>
  <si>
    <t>Mở trực tiếp chủ đề và hỏi số bài; không hỏi xác nhận học lại.</t>
  </si>
  <si>
    <t>TC-084</t>
  </si>
  <si>
    <t>Hoàn thành lại một chủ đề đã học</t>
  </si>
  <si>
    <t>1. Học tới bài cuối
2. Chọn Bài tiếp theo</t>
  </si>
  <si>
    <t>Replay completed topic</t>
  </si>
  <si>
    <t>Vẫn kích hoạt luồng chọn N chủ đề; không bị bỏ qua vì tiến độ đã hoàn thành trước đó.</t>
  </si>
  <si>
    <t>Từ vựng</t>
  </si>
  <si>
    <t>TC-087</t>
  </si>
  <si>
    <t>Mở Từ vựng bằng Main</t>
  </si>
  <si>
    <t>1. Nhấn Main
2. Nói Học từ vựng</t>
  </si>
  <si>
    <t>Học từ vựng</t>
  </si>
  <si>
    <t>Mở trang Từ vựng; hiển thị các hành trình Gia đình/Ngôi sao/Luyện lại theo thiết kế hiện tại.</t>
  </si>
  <si>
    <t>TC-088</t>
  </si>
  <si>
    <t>Thêm một từ/câu thủ công</t>
  </si>
  <si>
    <t>1. Bấm dấu +
2. Nhập tiếng Anh và tiếng Việt
3. Lưu</t>
  </si>
  <si>
    <t>Family / Gia đình</t>
  </si>
  <si>
    <t>Lưu thành công; xuất hiện trong danh sách; dữ liệu giữ đúng dấu tiếng Việt.</t>
  </si>
  <si>
    <t>TC-089</t>
  </si>
  <si>
    <t>Nghe phát âm từ/câu</t>
  </si>
  <si>
    <t>1. Bấm biểu tượng loa</t>
  </si>
  <si>
    <t>Saved vocabulary</t>
  </si>
  <si>
    <t>Phát đúng tiếng Anh; không mở micro hoặc thay đổi bộ sưu tập.</t>
  </si>
  <si>
    <t>TC-090</t>
  </si>
  <si>
    <t>Hiển thị câu học đúng</t>
  </si>
  <si>
    <t>1. Mở Ngôi sao
2. Đối chiếu bài học</t>
  </si>
  <si>
    <t>Star entry</t>
  </si>
  <si>
    <t>Câu đúng xuất hiện, không trùng, có bản dịch và audio phù hợp.</t>
  </si>
  <si>
    <t>TC-091</t>
  </si>
  <si>
    <t>Hiển thị câu nói sai</t>
  </si>
  <si>
    <t>1. Mở Luyện lại
2. Đối chiếu câu học</t>
  </si>
  <si>
    <t>Review entry</t>
  </si>
  <si>
    <t>Hiển thị câu mục tiêu cần luyện, không lưu nguyên câu sai của trẻ.</t>
  </si>
  <si>
    <t>TC-092</t>
  </si>
  <si>
    <t>Số đếm cập nhật ngay sau khi bài học lưu câu</t>
  </si>
  <si>
    <t>1. Quay lại bài và nói đúng/sai
2. Trở lại Từ vựng</t>
  </si>
  <si>
    <t>New star/review</t>
  </si>
  <si>
    <t>Số lượng trên thẻ cập nhật không cần khởi động lại ứng dụng.</t>
  </si>
  <si>
    <t>TC-093</t>
  </si>
  <si>
    <t>Dữ liệu tồn tại sau khởi động lại</t>
  </si>
  <si>
    <t>1. Đóng hoàn toàn ứng dụng
2. Mở lại
3. Mở Từ vựng</t>
  </si>
  <si>
    <t>Persisted data</t>
  </si>
  <si>
    <t>Các mục Gia đình/Ngôi sao/Luyện lại và số lượng vẫn chính xác.</t>
  </si>
  <si>
    <t>Cài đặt &amp; Android</t>
  </si>
  <si>
    <t>FP-001</t>
  </si>
  <si>
    <t>Cài APK trên Android 7/API 24</t>
  </si>
  <si>
    <t>Điều kiện trước: Máy sạch, chưa có ứng dụng
Các bước:
1. Cài APK
2. Mở app
3. Cấp quyền</t>
  </si>
  <si>
    <t>Android 7/API 24
Số lần: 3</t>
  </si>
  <si>
    <t>Cài và mở thành công; không crash; giao diện dùng được.
Chỉ số đạt: 3/3 lần đạt</t>
  </si>
  <si>
    <t>Nguồn: Field Test Plan v1.0 — TC-001 | Tính năng: Cài mới | Loại gốc: Compatibility | Phụ trách: QA | Status: Not Run</t>
  </si>
  <si>
    <t>FP-002</t>
  </si>
  <si>
    <t>Nâng từ build trước và giữ dữ liệu học</t>
  </si>
  <si>
    <t>Điều kiện trước: Có tiến độ, Ngôi sao, Luyện lại và lịch sử
Các bước:
1. Cài đè build mới
2. Mở lại
3. Đối chiếu dữ liệu</t>
  </si>
  <si>
    <t>Build cũ → 1.0.4+8
Số lần: 3</t>
  </si>
  <si>
    <t>Không mất hoặc nhân đôi dữ liệu người học.
Chỉ số đạt: 100% dữ liệu giữ đúng</t>
  </si>
  <si>
    <t>Nguồn: Field Test Plan v1.0 — TC-002 | Tính năng: Nâng cấp | Loại gốc: Regression | Phụ trách: QA | Status: Not Run</t>
  </si>
  <si>
    <t>FP-003</t>
  </si>
  <si>
    <t>Cho phép quyền micro</t>
  </si>
  <si>
    <t>Điều kiện trước: Cài mới
Các bước:
Mở app; chọn Cho phép; bắt đầu một lượt nói</t>
  </si>
  <si>
    <t>RECORD_AUDIO=Allow
Số lần: 3</t>
  </si>
  <si>
    <t>Micro khởi tạo và thu được giọng nói.
Chỉ số đạt: 3/3 lần đạt</t>
  </si>
  <si>
    <t>Nguồn: Field Test Plan v1.0 — TC-003 | Tính năng: Quyền micro | Loại gốc: Permission | Phụ trách: QA | Status: Not Run</t>
  </si>
  <si>
    <t>FP-012</t>
  </si>
  <si>
    <t>Nhấn Main khi Bi cô đang nói</t>
  </si>
  <si>
    <t>Điều kiện trước: APK release candidate đã cài; quyền cần thiết được cấp; backend production khả dụng trừ khi test yêu cầu khác.
Các bước:
Nhấn Main; trong lúc TTS đang phát nhấn lại</t>
  </si>
  <si>
    <t>Tap during TTS
Số lần: 30</t>
  </si>
  <si>
    <t>Không mở ASR trước khi TTS/beep kết thúc; không tự nghe tiếng loa.
Chỉ số đạt: 0/30 self-capture</t>
  </si>
  <si>
    <t>Nguồn: Field Test Plan v1.0 — TC-012 | Tính năng: Chống chồng | Loại gốc: Concurrency | Phụ trách: QA | Status: Not Run</t>
  </si>
  <si>
    <t>FP-013</t>
  </si>
  <si>
    <t>Nhấn Main khi backend đang xử lý</t>
  </si>
  <si>
    <t>Điều kiện trước: APK release candidate đã cài; quyền cần thiết được cấp; backend production khả dụng trừ khi test yêu cầu khác.
Các bước:
Nói câu; trong phase processing nhấn Main nhiều lần</t>
  </si>
  <si>
    <t>Latency 2–5 giây
Số lần: 20</t>
  </si>
  <si>
    <t>Trả busy/khóa an toàn; không tạo request trùng.
Chỉ số đạt: 1 request/lượt</t>
  </si>
  <si>
    <t>Nguồn: Field Test Plan v1.0 — TC-013 | Tính năng: Chống chồng | Loại gốc: Concurrency | Phụ trách: QA | Status: Not Run</t>
  </si>
  <si>
    <t>FP-018</t>
  </si>
  <si>
    <t>Release sau long press</t>
  </si>
  <si>
    <t>Điều kiện trước: Vừa nhấn giữ Main
Các bước:
Thả nút; quan sát trạng thái</t>
  </si>
  <si>
    <t>Release gesture
Số lần: 30</t>
  </si>
  <si>
    <t>Release không tạo hành động dừng/khởi động lần hai.
Chỉ số đạt: 0 hành động kép</t>
  </si>
  <si>
    <t>Nguồn: Field Test Plan v1.0 — TC-018 | Tính năng: Release | Loại gốc: Concurrency | Phụ trách: QA | Status: Not Run</t>
  </si>
  <si>
    <t>FP-019</t>
  </si>
  <si>
    <t>Nói tiếp tục/nghe lại/câu sau/câu trước</t>
  </si>
  <si>
    <t>Điều kiện trước: Bài học tạm dừng để nghe lệnh
Các bước:
Thử từng lệnh sau tiếng tít</t>
  </si>
  <si>
    <t>4 lệnh
Số lần: 5</t>
  </si>
  <si>
    <t>Thực hiện đúng lệnh và chỉ thay đổi đúng phạm vi.
Chỉ số đạt: ≥95% intent đúng</t>
  </si>
  <si>
    <t>Nguồn: Field Test Plan v1.0 — TC-019 | Tính năng: Lệnh trong bài | Loại gốc: Voice intent | Phụ trách: QA | Status: Not Run</t>
  </si>
  <si>
    <t>FP-020</t>
  </si>
  <si>
    <t>Nói dừng lại</t>
  </si>
  <si>
    <t>Điều kiện trước: Đang học bài
Các bước:
Nhấn Main; nói ‘Dừng lại’</t>
  </si>
  <si>
    <t>Stop command
Số lần: 10</t>
  </si>
  <si>
    <t>Đóng hoạt động học và về đúng màn hình quy định.
Chỉ số đạt: 10/10 đúng</t>
  </si>
  <si>
    <t>Nguồn: Field Test Plan v1.0 — TC-020 | Tính năng: Lệnh trong bài | Loại gốc: Voice intent | Phụ trách: QA | Status: Not Run</t>
  </si>
  <si>
    <t>FP-021</t>
  </si>
  <si>
    <t>Kiểm tra tất cả lời nói của Bi cô có beep</t>
  </si>
  <si>
    <t>Điều kiện trước: APK release candidate đã cài; quyền cần thiết được cấp; backend production khả dụng trừ khi test yêu cầu khác.
Các bước:
Chạy menu, hỏi tuổi, chọn chủ đề/bài, retry, goodbye</t>
  </si>
  <si>
    <t>Danh sách prompt
Số lần: 3</t>
  </si>
  <si>
    <t>Beep chỉ phát sau khi prompt kết thúc và trước khi nghe trẻ.
Chỉ số đạt: 100% prompt cần phản hồi</t>
  </si>
  <si>
    <t>Nguồn: Field Test Plan v1.0 — TC-021 | Tính năng: Tín hiệu tít | Loại gốc: Audio timing | Phụ trách: QA | Status: Not Run</t>
  </si>
  <si>
    <t>Điều hướng AI</t>
  </si>
  <si>
    <t>FP-025</t>
  </si>
  <si>
    <t>Chọn dịch liên tục</t>
  </si>
  <si>
    <t>Điều kiện trước: APK release candidate đã cài; quyền cần thiết được cấp; backend production khả dụng trừ khi test yêu cầu khác.
Các bước:
Nhấn Main; chọn dịch; nói ‘dịch liên tục’</t>
  </si>
  <si>
    <t>Continuous
Số lần: 5</t>
  </si>
  <si>
    <t>Mở chế độ liên tục và tự chuẩn bị lượt mới.
Chỉ số đạt: ≥95%</t>
  </si>
  <si>
    <t>Nguồn: Field Test Plan v1.0 — TC-025 | Tính năng: Menu | Loại gốc: Voice intent | Phụ trách: QA | Status: Not Run</t>
  </si>
  <si>
    <t>FP-026</t>
  </si>
  <si>
    <t>Nhận tuổi bằng số và chữ</t>
  </si>
  <si>
    <t>Điều kiện trước: APK release candidate đã cài; quyền cần thiết được cấp; backend production khả dụng trừ khi test yêu cầu khác.
Các bước:
Lần lượt nói ‘Con 6 tuổi’, ‘Con sáu tuổi’</t>
  </si>
  <si>
    <t>4,6,9,11,14 tuổi
Số lần: 5</t>
  </si>
  <si>
    <t>Chọn đúng nhóm 3–5, 6–7, 8–10, 11–12, 13–15.
Chỉ số đạt: ≥95%</t>
  </si>
  <si>
    <t>Nguồn: Field Test Plan v1.0 — TC-026 | Tính năng: Tuổi | Loại gốc: Boundary | Phụ trách: QA | Status: Not Run</t>
  </si>
  <si>
    <t>FP-027</t>
  </si>
  <si>
    <t>Tuổi ngoài phạm vi</t>
  </si>
  <si>
    <t>Điều kiện trước: APK release candidate đã cài; quyền cần thiết được cấp; backend production khả dụng trừ khi test yêu cầu khác.
Các bước:
Nói 2 tuổi và 16 tuổi</t>
  </si>
  <si>
    <t>2;16
Số lần: 5</t>
  </si>
  <si>
    <t>Không chọn sai nhóm; nhắc phạm vi hợp lệ và nghe lại.
Chỉ số đạt: 10/10 đúng</t>
  </si>
  <si>
    <t>Nguồn: Field Test Plan v1.0 — TC-027 | Tính năng: Tuổi | Loại gốc: Negative | Phụ trách: QA | Status: Not Run</t>
  </si>
  <si>
    <t>FP-033</t>
  </si>
  <si>
    <t>Giọng Bắc/Trung/Nam</t>
  </si>
  <si>
    <t>Điều kiện trước: APK release candidate đã cài; quyền cần thiết được cấp; backend production khả dụng trừ khi test yêu cầu khác.
Các bước:
Mỗi trẻ nói bộ lệnh chuẩn</t>
  </si>
  <si>
    <t>3 vùng giọng
Số lần: 5</t>
  </si>
  <si>
    <t>Không thiên lệch rõ rệt giữa nhóm giọng.
Chỉ số đạt: Chênh lệch nhóm ≤10 điểm %</t>
  </si>
  <si>
    <t>Nguồn: Field Test Plan v1.0 — TC-033 | Tính năng: Đa giọng | Loại gốc: Field | Phụ trách: QA | Status: Not Run</t>
  </si>
  <si>
    <t>Chủ đề &amp; Bài học</t>
  </si>
  <si>
    <t>FP-044</t>
  </si>
  <si>
    <t>Đủ 5 nhóm tuổi và 50 chủ đề</t>
  </si>
  <si>
    <t>Điều kiện trước: APK release candidate đã cài; quyền cần thiết được cấp; backend production khả dụng trừ khi test yêu cầu khác.
Các bước:
Mở từng tab tuổi; đếm chủ đề</t>
  </si>
  <si>
    <t>3–5;6–7;8–10;11–12;13–15
Số lần: 1</t>
  </si>
  <si>
    <t>Mỗi nhóm có 10 chủ đề; tổng 50.
Chỉ số đạt: 50/50 đúng</t>
  </si>
  <si>
    <t>Nguồn: Field Test Plan v1.0 — TC-044 | Tính năng: Nội dung | Loại gốc: Data integrity | Phụ trách: QA | Status: Not Run</t>
  </si>
  <si>
    <t>FP-045</t>
  </si>
  <si>
    <t>Đủ bài học và bài hát</t>
  </si>
  <si>
    <t>Điều kiện trước: APK release candidate đã cài; quyền cần thiết được cấp; backend production khả dụng trừ khi test yêu cầu khác.
Các bước:
Đối chiếu catalog</t>
  </si>
  <si>
    <t>101 bài; 11 bài hát; 744 câu
Số lần: 1</t>
  </si>
  <si>
    <t>Không thiếu/trùng ID; audio mapping hợp lệ.
Chỉ số đạt: 100% catalog</t>
  </si>
  <si>
    <t>Nguồn: Field Test Plan v1.0 — TC-045 | Tính năng: Nội dung | Loại gốc: Data integrity | Phụ trách: QA | Status: Not Run</t>
  </si>
  <si>
    <t>FP-048</t>
  </si>
  <si>
    <t>Tự dừng sau tối đa 6 giây</t>
  </si>
  <si>
    <t>Điều kiện trước: Đang ở câu luyện
Các bước:
Bắt đầu ghi; nói; chờ</t>
  </si>
  <si>
    <t>Utterance &lt;6 giây
Số lần: 10</t>
  </si>
  <si>
    <t>Dừng đúng một lần và chuyển đánh giá.
Chỉ số đạt: 10/10 đúng</t>
  </si>
  <si>
    <t>Nguồn: Field Test Plan v1.0 — TC-048 | Tính năng: Ghi âm | Loại gốc: Timing | Phụ trách: QA | Status: Not Run</t>
  </si>
  <si>
    <t>Nhóm tuổi</t>
  </si>
  <si>
    <t>Điều kiện</t>
  </si>
  <si>
    <t>Âm lượng</t>
  </si>
  <si>
    <t>Số trẻ</t>
  </si>
  <si>
    <t>Câu/trẻ</t>
  </si>
  <si>
    <t>Lặp/câu</t>
  </si>
  <si>
    <t>Tổng lượt nói</t>
  </si>
  <si>
    <t>3–5</t>
  </si>
  <si>
    <t>Nói chậm</t>
  </si>
  <si>
    <t>Bình thường</t>
  </si>
  <si>
    <t>6–7</t>
  </si>
  <si>
    <t>Nói nhanh</t>
  </si>
  <si>
    <t>8–10</t>
  </si>
  <si>
    <t>Nói ngắt quãng</t>
  </si>
  <si>
    <t>11–12</t>
  </si>
  <si>
    <t>Nói bình thường</t>
  </si>
  <si>
    <t>11–13</t>
  </si>
  <si>
    <t>Nhỏ</t>
  </si>
  <si>
    <t>13–15</t>
  </si>
  <si>
    <t>Tổng</t>
  </si>
  <si>
    <t>Kết quả mong muốn</t>
  </si>
  <si>
    <t>Kết quả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</si>
</sst>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26364A"/>
      <name val="Aptos"/>
    </font>
    <font>
      <b/>
      <sz val="17"/>
      <color rgb="FFFFFFFF"/>
      <name val="Aptos Display"/>
    </font>
    <font>
      <i/>
      <sz val="10"/>
      <color rgb="FF5F738C"/>
      <name val="Aptos"/>
    </font>
    <font>
      <b/>
      <sz val="10"/>
      <color rgb="FFFFFFFF"/>
      <name val="Aptos"/>
    </font>
    <font>
      <b/>
      <sz val="11"/>
      <color rgb="FF12325B"/>
      <name val="Aptos"/>
    </font>
    <font>
      <b/>
      <sz val="11"/>
      <color rgb="FFFFFFFF"/>
      <name val="Carlito"/>
    </font>
    <font>
      <sz val="11"/>
      <color rgb="FF1F3B5B"/>
      <name val="Carlito"/>
    </font>
  </fonts>
  <fills count="13">
    <fill>
      <patternFill patternType="none"/>
    </fill>
    <fill>
      <patternFill patternType="gray125"/>
    </fill>
    <fill>
      <patternFill patternType="solid">
        <fgColor rgb="FF12325B"/>
      </patternFill>
    </fill>
    <fill>
      <patternFill patternType="solid">
        <fgColor rgb="FFEAF2FF"/>
      </patternFill>
    </fill>
    <fill>
      <patternFill patternType="solid">
        <fgColor rgb="FF2F5BD3"/>
      </patternFill>
    </fill>
    <fill>
      <patternFill patternType="solid">
        <fgColor rgb="FFEAF5FB"/>
      </patternFill>
    </fill>
    <fill>
      <patternFill patternType="solid">
        <fgColor rgb="FFFFFFFF"/>
      </patternFill>
    </fill>
    <fill>
      <patternFill patternType="solid">
        <fgColor rgb="FFDCE8FF"/>
      </patternFill>
    </fill>
    <fill>
      <patternFill patternType="solid">
        <fgColor rgb="FFEAF5FB"/>
      </patternFill>
    </fill>
    <fill>
      <patternFill patternType="solid">
        <fgColor rgb="FFFFFFFF"/>
      </patternFill>
    </fill>
    <fill>
      <patternFill patternType="solid">
        <fgColor rgb="FF2F61D5"/>
      </patternFill>
    </fill>
    <fill>
      <patternFill patternType="solid">
        <fgColor rgb="FFE5F2F9"/>
      </patternFill>
    </fill>
    <fill>
      <patternFill patternType="solid">
        <fgColor rgb="FFFFFFFF"/>
      </patternFill>
    </fill>
  </fills>
  <borders count="10">
    <border>
      <left/>
      <right/>
      <top/>
      <bottom/>
      <diagonal/>
    </border>
    <border>
      <left/>
      <right/>
      <top/>
      <bottom style="medium">
        <color rgb="FF234BB6"/>
      </bottom>
      <diagonal/>
    </border>
    <border>
      <left/>
      <right/>
      <top/>
      <bottom style="thin">
        <color rgb="FFC9D8EA"/>
      </bottom>
      <diagonal/>
    </border>
    <border>
      <left style="thin">
        <color rgb="FFCBD5E1"/>
      </left>
      <right/>
      <top style="thin">
        <color rgb="FFCBD5E1"/>
      </top>
      <bottom style="medium">
        <color rgb="FF234BB6"/>
      </bottom>
      <diagonal/>
    </border>
    <border>
      <left/>
      <right/>
      <top style="thin">
        <color rgb="FFCBD5E1"/>
      </top>
      <bottom style="medium">
        <color rgb="FF234BB6"/>
      </bottom>
      <diagonal/>
    </border>
    <border>
      <left style="thin">
        <color indexed="64"/>
      </left>
      <right style="thin">
        <color indexed="64"/>
      </right>
      <top style="thin">
        <color indexed="64"/>
      </top>
      <bottom style="thin">
        <color rgb="FFC9D8EA"/>
      </bottom>
      <diagonal/>
    </border>
    <border>
      <left style="thin">
        <color indexed="64"/>
      </left>
      <right style="thin">
        <color indexed="64"/>
      </right>
      <top style="medium">
        <color rgb="FF234BB6"/>
      </top>
      <bottom style="thin">
        <color rgb="FFC9D8EA"/>
      </bottom>
      <diagonal/>
    </border>
    <border>
      <left style="thin">
        <color indexed="64"/>
      </left>
      <right style="thin">
        <color indexed="64"/>
      </right>
      <top style="thin">
        <color indexed="64"/>
      </top>
      <bottom style="thin">
        <color indexed="64"/>
      </bottom>
      <diagonal/>
    </border>
    <border>
      <left/>
      <right style="thin">
        <color rgb="FF1F2937"/>
      </right>
      <top style="thin">
        <color rgb="FF1F2937"/>
      </top>
      <bottom style="thin">
        <color rgb="FF1F2937"/>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4" fillId="4" borderId="1" xfId="0" applyFont="1" applyFill="1" applyBorder="1" applyAlignment="1">
      <alignment horizontal="center" vertical="center" wrapText="1"/>
    </xf>
    <xf numFmtId="0" fontId="1" fillId="5" borderId="2" xfId="0" applyFont="1" applyFill="1" applyBorder="1" applyAlignment="1">
      <alignment vertical="top" wrapText="1"/>
    </xf>
    <xf numFmtId="0" fontId="1" fillId="5" borderId="2" xfId="0" applyFont="1" applyFill="1" applyBorder="1" applyAlignment="1">
      <alignment horizontal="center" vertical="top" wrapText="1"/>
    </xf>
    <xf numFmtId="0" fontId="1" fillId="6" borderId="2" xfId="0" applyFont="1" applyFill="1" applyBorder="1" applyAlignment="1">
      <alignment vertical="top" wrapText="1"/>
    </xf>
    <xf numFmtId="0" fontId="1" fillId="6" borderId="2" xfId="0" applyFont="1" applyFill="1" applyBorder="1" applyAlignment="1">
      <alignment horizontal="center" vertical="top"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1" fillId="5" borderId="5" xfId="0" applyFont="1" applyFill="1" applyBorder="1" applyAlignment="1">
      <alignment vertical="top" wrapText="1"/>
    </xf>
    <xf numFmtId="0" fontId="1" fillId="6" borderId="5" xfId="0" applyFont="1" applyFill="1" applyBorder="1" applyAlignment="1">
      <alignment vertical="top" wrapText="1"/>
    </xf>
    <xf numFmtId="0" fontId="1" fillId="5" borderId="5" xfId="0" applyFont="1" applyFill="1" applyBorder="1" applyAlignment="1">
      <alignment horizontal="center" vertical="top" wrapText="1"/>
    </xf>
    <xf numFmtId="0" fontId="1" fillId="6" borderId="5" xfId="0" applyFont="1" applyFill="1" applyBorder="1" applyAlignment="1">
      <alignment horizontal="center" vertical="top" wrapText="1"/>
    </xf>
    <xf numFmtId="3" fontId="1" fillId="5" borderId="5" xfId="0" applyNumberFormat="1" applyFont="1" applyFill="1" applyBorder="1" applyAlignment="1">
      <alignment horizontal="center" vertical="top" wrapText="1"/>
    </xf>
    <xf numFmtId="3" fontId="1" fillId="6" borderId="5" xfId="0" applyNumberFormat="1" applyFont="1" applyFill="1" applyBorder="1" applyAlignment="1">
      <alignment horizontal="center" vertical="top" wrapText="1"/>
    </xf>
    <xf numFmtId="3" fontId="5" fillId="7" borderId="6" xfId="0" applyNumberFormat="1" applyFont="1" applyFill="1" applyBorder="1" applyAlignment="1">
      <alignment horizontal="center" vertical="center" wrapText="1"/>
    </xf>
    <xf numFmtId="3" fontId="5" fillId="7" borderId="6" xfId="0" applyNumberFormat="1" applyFont="1" applyFill="1" applyBorder="1" applyAlignment="1">
      <alignment horizontal="center" vertical="center"/>
    </xf>
    <xf numFmtId="0" fontId="1" fillId="8" borderId="2" xfId="0" applyFont="1" applyFill="1" applyBorder="1" applyAlignment="1">
      <alignment vertical="top" wrapText="1"/>
    </xf>
    <xf numFmtId="0" fontId="1" fillId="9" borderId="2" xfId="0" applyFont="1" applyFill="1" applyBorder="1" applyAlignment="1">
      <alignment vertical="top" wrapText="1"/>
    </xf>
    <xf numFmtId="0" fontId="1" fillId="8" borderId="2" xfId="0" applyFont="1" applyFill="1" applyBorder="1" applyAlignment="1">
      <alignment horizontal="center" vertical="top" wrapText="1"/>
    </xf>
    <xf numFmtId="0" fontId="1" fillId="9" borderId="2" xfId="0" applyFont="1" applyFill="1" applyBorder="1" applyAlignment="1">
      <alignment horizontal="center" vertical="top" wrapText="1"/>
    </xf>
    <xf numFmtId="0" fontId="2" fillId="2" borderId="0" xfId="0" applyFont="1" applyFill="1" applyAlignment="1">
      <alignment horizontal="left" vertical="center"/>
    </xf>
    <xf numFmtId="0" fontId="3" fillId="3" borderId="0" xfId="0" applyFont="1" applyFill="1" applyAlignment="1">
      <alignment horizontal="left" vertical="center" wrapText="1"/>
    </xf>
    <xf numFmtId="0" fontId="5" fillId="7" borderId="6" xfId="0" applyFont="1" applyFill="1" applyBorder="1" applyAlignment="1">
      <alignment horizontal="right" vertical="center" wrapText="1"/>
    </xf>
    <xf numFmtId="0" fontId="4" fillId="4" borderId="0" xfId="0" applyFont="1" applyFill="1" applyBorder="1" applyAlignment="1">
      <alignment horizontal="center" vertical="center" wrapText="1"/>
    </xf>
    <xf numFmtId="9" fontId="7" fillId="11" borderId="8" xfId="0" applyNumberFormat="1" applyFont="1" applyFill="1" applyBorder="1" applyAlignment="1">
      <alignment horizontal="center" vertical="center"/>
    </xf>
    <xf numFmtId="9" fontId="7" fillId="12" borderId="8" xfId="0" applyNumberFormat="1" applyFont="1" applyFill="1" applyBorder="1" applyAlignment="1">
      <alignment horizontal="center" vertical="center"/>
    </xf>
    <xf numFmtId="3" fontId="1" fillId="5" borderId="7" xfId="0" applyNumberFormat="1" applyFont="1" applyFill="1" applyBorder="1" applyAlignment="1">
      <alignment horizontal="center" vertical="top" wrapText="1"/>
    </xf>
    <xf numFmtId="3" fontId="1" fillId="6" borderId="7" xfId="0" applyNumberFormat="1" applyFont="1" applyFill="1" applyBorder="1" applyAlignment="1">
      <alignment horizontal="center" vertical="top" wrapText="1"/>
    </xf>
    <xf numFmtId="3" fontId="5" fillId="7" borderId="7" xfId="0" applyNumberFormat="1" applyFont="1" applyFill="1" applyBorder="1" applyAlignment="1">
      <alignment horizontal="center" vertical="center"/>
    </xf>
    <xf numFmtId="0" fontId="6" fillId="10" borderId="8" xfId="0" applyFont="1" applyFill="1" applyBorder="1" applyAlignment="1">
      <alignment horizontal="center" vertical="center" wrapText="1"/>
    </xf>
    <xf numFmtId="3" fontId="1" fillId="5" borderId="9" xfId="0" applyNumberFormat="1" applyFont="1" applyFill="1" applyBorder="1" applyAlignment="1">
      <alignment horizontal="center" vertical="top" wrapText="1"/>
    </xf>
  </cellXfs>
  <cellStyles count="1">
    <cellStyle name="Normal" xfId="0" builtinId="0"/>
  </cellStyles>
  <dxfs count="6">
    <dxf>
      <font>
        <b/>
        <color rgb="FF176B3A"/>
      </font>
      <fill>
        <patternFill>
          <bgColor rgb="FFE7F4EA"/>
        </patternFill>
      </fill>
    </dxf>
    <dxf>
      <font>
        <b/>
        <color rgb="FF9A5B00"/>
      </font>
      <fill>
        <patternFill>
          <bgColor rgb="FFFFF1D6"/>
        </patternFill>
      </fill>
    </dxf>
    <dxf>
      <font>
        <b/>
        <color rgb="FFB42318"/>
      </font>
      <fill>
        <patternFill>
          <bgColor rgb="FFFDE8E7"/>
        </patternFill>
      </fill>
    </dxf>
    <dxf>
      <font>
        <b/>
        <color rgb="FF176B3A"/>
      </font>
      <fill>
        <patternFill>
          <bgColor rgb="FFE7F4EA"/>
        </patternFill>
      </fill>
    </dxf>
    <dxf>
      <font>
        <b/>
        <color rgb="FF9A5B00"/>
      </font>
      <fill>
        <patternFill>
          <bgColor rgb="FFFFF1D6"/>
        </patternFill>
      </fill>
    </dxf>
    <dxf>
      <font>
        <b/>
        <color rgb="FFB42318"/>
      </font>
      <fill>
        <patternFill>
          <bgColor rgb="FFFDE8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lassifiedTestCases" displayName="ClassifiedTestCases" ref="A3:H103" totalsRowShown="0">
  <autoFilter ref="A3:H103" xr:uid="{00000000-0009-0000-0100-000002000000}"/>
  <tableColumns count="8">
    <tableColumn id="1" xr3:uid="{00000000-0010-0000-0000-000001000000}" name="Nhóm chức năng"/>
    <tableColumn id="3" xr3:uid="{00000000-0010-0000-0000-000003000000}" name="Ưu tiên"/>
    <tableColumn id="4" xr3:uid="{00000000-0010-0000-0000-000004000000}" name="TC_ID"/>
    <tableColumn id="5" xr3:uid="{00000000-0010-0000-0000-000005000000}" name="Test scenario"/>
    <tableColumn id="6" xr3:uid="{00000000-0010-0000-0000-000006000000}" name="Test steps"/>
    <tableColumn id="7" xr3:uid="{00000000-0010-0000-0000-000007000000}" name="Test data"/>
    <tableColumn id="8" xr3:uid="{00000000-0010-0000-0000-000008000000}" name="Expected result"/>
    <tableColumn id="9" xr3:uid="{00000000-0010-0000-0000-000009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3"/>
  <sheetViews>
    <sheetView showGridLines="0" tabSelected="1" topLeftCell="A7" workbookViewId="0">
      <selection activeCell="C6" sqref="C6"/>
    </sheetView>
  </sheetViews>
  <sheetFormatPr defaultRowHeight="13.8"/>
  <cols>
    <col min="1" max="1" width="28" customWidth="1"/>
    <col min="2" max="2" width="14" customWidth="1"/>
    <col min="3" max="3" width="12" customWidth="1"/>
    <col min="4" max="4" width="36" customWidth="1"/>
    <col min="5" max="5" width="48" customWidth="1"/>
    <col min="6" max="6" width="25" customWidth="1"/>
    <col min="7" max="7" width="50" customWidth="1"/>
    <col min="8" max="8" width="20" customWidth="1"/>
  </cols>
  <sheetData>
    <row r="1" spans="1:8" ht="31.95" customHeight="1">
      <c r="A1" s="20" t="s">
        <v>0</v>
      </c>
      <c r="B1" s="20"/>
      <c r="C1" s="20"/>
      <c r="D1" s="20"/>
      <c r="E1" s="20"/>
      <c r="F1" s="20"/>
      <c r="G1" s="20"/>
      <c r="H1" s="20"/>
    </row>
    <row r="2" spans="1:8" ht="28.05" customHeight="1">
      <c r="A2" s="21" t="s">
        <v>1</v>
      </c>
      <c r="B2" s="21"/>
      <c r="C2" s="21"/>
      <c r="D2" s="21"/>
      <c r="E2" s="21"/>
      <c r="F2" s="21"/>
      <c r="G2" s="21"/>
      <c r="H2" s="21"/>
    </row>
    <row r="3" spans="1:8" ht="34.049999999999997" customHeight="1" thickBot="1">
      <c r="A3" s="1" t="s">
        <v>2</v>
      </c>
      <c r="B3" s="1" t="s">
        <v>3</v>
      </c>
      <c r="C3" s="1" t="s">
        <v>4</v>
      </c>
      <c r="D3" s="1" t="s">
        <v>5</v>
      </c>
      <c r="E3" s="1" t="s">
        <v>6</v>
      </c>
      <c r="F3" s="1" t="s">
        <v>7</v>
      </c>
      <c r="G3" s="1" t="s">
        <v>8</v>
      </c>
      <c r="H3" s="1" t="s">
        <v>9</v>
      </c>
    </row>
    <row r="4" spans="1:8" ht="54" customHeight="1">
      <c r="A4" s="4" t="s">
        <v>10</v>
      </c>
      <c r="B4" s="5" t="s">
        <v>12</v>
      </c>
      <c r="C4" s="5" t="s">
        <v>13</v>
      </c>
      <c r="D4" s="4" t="s">
        <v>14</v>
      </c>
      <c r="E4" s="4" t="s">
        <v>15</v>
      </c>
      <c r="F4" s="4" t="s">
        <v>16</v>
      </c>
      <c r="G4" s="4" t="s">
        <v>17</v>
      </c>
      <c r="H4" s="4"/>
    </row>
    <row r="5" spans="1:8" ht="54" customHeight="1">
      <c r="A5" s="2" t="s">
        <v>10</v>
      </c>
      <c r="B5" s="3" t="s">
        <v>11</v>
      </c>
      <c r="C5" s="3" t="s">
        <v>18</v>
      </c>
      <c r="D5" s="2" t="s">
        <v>19</v>
      </c>
      <c r="E5" s="2" t="s">
        <v>20</v>
      </c>
      <c r="F5" s="2" t="s">
        <v>21</v>
      </c>
      <c r="G5" s="2" t="s">
        <v>22</v>
      </c>
      <c r="H5" s="2"/>
    </row>
    <row r="6" spans="1:8" ht="54" customHeight="1">
      <c r="A6" s="4" t="s">
        <v>10</v>
      </c>
      <c r="B6" s="5" t="s">
        <v>12</v>
      </c>
      <c r="C6" s="5" t="s">
        <v>23</v>
      </c>
      <c r="D6" s="4" t="s">
        <v>24</v>
      </c>
      <c r="E6" s="4" t="s">
        <v>25</v>
      </c>
      <c r="F6" s="4" t="s">
        <v>26</v>
      </c>
      <c r="G6" s="4" t="s">
        <v>27</v>
      </c>
      <c r="H6" s="4"/>
    </row>
    <row r="7" spans="1:8" ht="54" customHeight="1">
      <c r="A7" s="2" t="s">
        <v>10</v>
      </c>
      <c r="B7" s="3" t="s">
        <v>11</v>
      </c>
      <c r="C7" s="3" t="s">
        <v>28</v>
      </c>
      <c r="D7" s="2" t="s">
        <v>29</v>
      </c>
      <c r="E7" s="2" t="s">
        <v>30</v>
      </c>
      <c r="F7" s="2" t="s">
        <v>31</v>
      </c>
      <c r="G7" s="2" t="s">
        <v>32</v>
      </c>
      <c r="H7" s="2"/>
    </row>
    <row r="8" spans="1:8" ht="54" customHeight="1">
      <c r="A8" s="4" t="s">
        <v>10</v>
      </c>
      <c r="B8" s="5" t="s">
        <v>11</v>
      </c>
      <c r="C8" s="5" t="s">
        <v>33</v>
      </c>
      <c r="D8" s="4" t="s">
        <v>34</v>
      </c>
      <c r="E8" s="4" t="s">
        <v>35</v>
      </c>
      <c r="F8" s="4" t="s">
        <v>36</v>
      </c>
      <c r="G8" s="4" t="s">
        <v>37</v>
      </c>
      <c r="H8" s="4"/>
    </row>
    <row r="9" spans="1:8" ht="54" customHeight="1">
      <c r="A9" s="2" t="s">
        <v>10</v>
      </c>
      <c r="B9" s="3" t="s">
        <v>12</v>
      </c>
      <c r="C9" s="3" t="s">
        <v>38</v>
      </c>
      <c r="D9" s="2" t="s">
        <v>39</v>
      </c>
      <c r="E9" s="2" t="s">
        <v>40</v>
      </c>
      <c r="F9" s="2" t="s">
        <v>41</v>
      </c>
      <c r="G9" s="2" t="s">
        <v>42</v>
      </c>
      <c r="H9" s="2"/>
    </row>
    <row r="10" spans="1:8" ht="54" customHeight="1">
      <c r="A10" s="4" t="s">
        <v>10</v>
      </c>
      <c r="B10" s="5" t="s">
        <v>12</v>
      </c>
      <c r="C10" s="5" t="s">
        <v>43</v>
      </c>
      <c r="D10" s="4" t="s">
        <v>44</v>
      </c>
      <c r="E10" s="4" t="s">
        <v>45</v>
      </c>
      <c r="F10" s="4" t="s">
        <v>46</v>
      </c>
      <c r="G10" s="4" t="s">
        <v>47</v>
      </c>
      <c r="H10" s="4"/>
    </row>
    <row r="11" spans="1:8" ht="54" customHeight="1">
      <c r="A11" s="2" t="s">
        <v>10</v>
      </c>
      <c r="B11" s="3" t="s">
        <v>12</v>
      </c>
      <c r="C11" s="3" t="s">
        <v>48</v>
      </c>
      <c r="D11" s="2" t="s">
        <v>49</v>
      </c>
      <c r="E11" s="2" t="s">
        <v>50</v>
      </c>
      <c r="F11" s="2" t="s">
        <v>51</v>
      </c>
      <c r="G11" s="2" t="s">
        <v>52</v>
      </c>
      <c r="H11" s="2"/>
    </row>
    <row r="12" spans="1:8" ht="54" customHeight="1">
      <c r="A12" s="4" t="s">
        <v>10</v>
      </c>
      <c r="B12" s="5" t="s">
        <v>12</v>
      </c>
      <c r="C12" s="5" t="s">
        <v>53</v>
      </c>
      <c r="D12" s="4" t="s">
        <v>54</v>
      </c>
      <c r="E12" s="4" t="s">
        <v>55</v>
      </c>
      <c r="F12" s="4" t="s">
        <v>56</v>
      </c>
      <c r="G12" s="4" t="s">
        <v>57</v>
      </c>
      <c r="H12" s="4"/>
    </row>
    <row r="13" spans="1:8" ht="54" customHeight="1">
      <c r="A13" s="2" t="s">
        <v>10</v>
      </c>
      <c r="B13" s="3" t="s">
        <v>12</v>
      </c>
      <c r="C13" s="3" t="s">
        <v>58</v>
      </c>
      <c r="D13" s="2" t="s">
        <v>59</v>
      </c>
      <c r="E13" s="2" t="s">
        <v>60</v>
      </c>
      <c r="F13" s="2" t="s">
        <v>61</v>
      </c>
      <c r="G13" s="2" t="s">
        <v>62</v>
      </c>
      <c r="H13" s="2"/>
    </row>
    <row r="14" spans="1:8" ht="54" customHeight="1">
      <c r="A14" s="4" t="s">
        <v>10</v>
      </c>
      <c r="B14" s="5" t="s">
        <v>12</v>
      </c>
      <c r="C14" s="5" t="s">
        <v>63</v>
      </c>
      <c r="D14" s="4" t="s">
        <v>64</v>
      </c>
      <c r="E14" s="4" t="s">
        <v>65</v>
      </c>
      <c r="F14" s="4" t="s">
        <v>66</v>
      </c>
      <c r="G14" s="4" t="s">
        <v>67</v>
      </c>
      <c r="H14" s="4"/>
    </row>
    <row r="15" spans="1:8" ht="54" customHeight="1">
      <c r="A15" s="2" t="s">
        <v>10</v>
      </c>
      <c r="B15" s="3" t="s">
        <v>12</v>
      </c>
      <c r="C15" s="3" t="s">
        <v>68</v>
      </c>
      <c r="D15" s="2" t="s">
        <v>69</v>
      </c>
      <c r="E15" s="2" t="s">
        <v>70</v>
      </c>
      <c r="F15" s="2" t="s">
        <v>71</v>
      </c>
      <c r="G15" s="2" t="s">
        <v>72</v>
      </c>
      <c r="H15" s="2"/>
    </row>
    <row r="16" spans="1:8" ht="54" customHeight="1">
      <c r="A16" s="4" t="s">
        <v>10</v>
      </c>
      <c r="B16" s="5" t="s">
        <v>12</v>
      </c>
      <c r="C16" s="5" t="s">
        <v>73</v>
      </c>
      <c r="D16" s="4" t="s">
        <v>74</v>
      </c>
      <c r="E16" s="4" t="s">
        <v>75</v>
      </c>
      <c r="F16" s="4" t="s">
        <v>76</v>
      </c>
      <c r="G16" s="4" t="s">
        <v>77</v>
      </c>
      <c r="H16" s="4"/>
    </row>
    <row r="17" spans="1:8" ht="54" customHeight="1">
      <c r="A17" s="2" t="s">
        <v>10</v>
      </c>
      <c r="B17" s="3" t="s">
        <v>78</v>
      </c>
      <c r="C17" s="3" t="s">
        <v>79</v>
      </c>
      <c r="D17" s="2" t="s">
        <v>80</v>
      </c>
      <c r="E17" s="2" t="s">
        <v>81</v>
      </c>
      <c r="F17" s="2" t="s">
        <v>82</v>
      </c>
      <c r="G17" s="2" t="s">
        <v>83</v>
      </c>
      <c r="H17" s="2"/>
    </row>
    <row r="18" spans="1:8" ht="54" customHeight="1">
      <c r="A18" s="4" t="s">
        <v>84</v>
      </c>
      <c r="B18" s="5" t="s">
        <v>78</v>
      </c>
      <c r="C18" s="5" t="s">
        <v>85</v>
      </c>
      <c r="D18" s="4" t="s">
        <v>86</v>
      </c>
      <c r="E18" s="4" t="s">
        <v>87</v>
      </c>
      <c r="F18" s="4" t="s">
        <v>88</v>
      </c>
      <c r="G18" s="4" t="s">
        <v>89</v>
      </c>
      <c r="H18" s="4"/>
    </row>
    <row r="19" spans="1:8" ht="54" customHeight="1">
      <c r="A19" s="2" t="s">
        <v>84</v>
      </c>
      <c r="B19" s="3" t="s">
        <v>11</v>
      </c>
      <c r="C19" s="3" t="s">
        <v>90</v>
      </c>
      <c r="D19" s="2" t="s">
        <v>91</v>
      </c>
      <c r="E19" s="2" t="s">
        <v>92</v>
      </c>
      <c r="F19" s="2" t="s">
        <v>93</v>
      </c>
      <c r="G19" s="2" t="s">
        <v>94</v>
      </c>
      <c r="H19" s="2"/>
    </row>
    <row r="20" spans="1:8" ht="54" customHeight="1">
      <c r="A20" s="4" t="s">
        <v>84</v>
      </c>
      <c r="B20" s="5" t="s">
        <v>11</v>
      </c>
      <c r="C20" s="5" t="s">
        <v>95</v>
      </c>
      <c r="D20" s="4" t="s">
        <v>96</v>
      </c>
      <c r="E20" s="4" t="s">
        <v>97</v>
      </c>
      <c r="F20" s="4" t="s">
        <v>98</v>
      </c>
      <c r="G20" s="4" t="s">
        <v>99</v>
      </c>
      <c r="H20" s="4"/>
    </row>
    <row r="21" spans="1:8" ht="54" customHeight="1">
      <c r="A21" s="2" t="s">
        <v>84</v>
      </c>
      <c r="B21" s="3" t="s">
        <v>78</v>
      </c>
      <c r="C21" s="3" t="s">
        <v>100</v>
      </c>
      <c r="D21" s="2" t="s">
        <v>101</v>
      </c>
      <c r="E21" s="2" t="s">
        <v>102</v>
      </c>
      <c r="F21" s="2" t="s">
        <v>103</v>
      </c>
      <c r="G21" s="2" t="s">
        <v>104</v>
      </c>
      <c r="H21" s="2"/>
    </row>
    <row r="22" spans="1:8" ht="54" customHeight="1">
      <c r="A22" s="4" t="s">
        <v>84</v>
      </c>
      <c r="B22" s="5" t="s">
        <v>11</v>
      </c>
      <c r="C22" s="5" t="s">
        <v>105</v>
      </c>
      <c r="D22" s="4" t="s">
        <v>106</v>
      </c>
      <c r="E22" s="4" t="s">
        <v>107</v>
      </c>
      <c r="F22" s="4" t="s">
        <v>108</v>
      </c>
      <c r="G22" s="4" t="s">
        <v>109</v>
      </c>
      <c r="H22" s="4"/>
    </row>
    <row r="23" spans="1:8" ht="54" customHeight="1">
      <c r="A23" s="2" t="s">
        <v>84</v>
      </c>
      <c r="B23" s="3" t="s">
        <v>11</v>
      </c>
      <c r="C23" s="3" t="s">
        <v>110</v>
      </c>
      <c r="D23" s="2" t="s">
        <v>111</v>
      </c>
      <c r="E23" s="2" t="s">
        <v>112</v>
      </c>
      <c r="F23" s="2" t="s">
        <v>113</v>
      </c>
      <c r="G23" s="2" t="s">
        <v>114</v>
      </c>
      <c r="H23" s="2"/>
    </row>
    <row r="24" spans="1:8" ht="54" customHeight="1">
      <c r="A24" s="4" t="s">
        <v>84</v>
      </c>
      <c r="B24" s="5" t="s">
        <v>78</v>
      </c>
      <c r="C24" s="5" t="s">
        <v>115</v>
      </c>
      <c r="D24" s="4" t="s">
        <v>116</v>
      </c>
      <c r="E24" s="4" t="s">
        <v>117</v>
      </c>
      <c r="F24" s="4" t="s">
        <v>118</v>
      </c>
      <c r="G24" s="4" t="s">
        <v>119</v>
      </c>
      <c r="H24" s="4"/>
    </row>
    <row r="25" spans="1:8" ht="54" customHeight="1">
      <c r="A25" s="2" t="s">
        <v>84</v>
      </c>
      <c r="B25" s="3" t="s">
        <v>11</v>
      </c>
      <c r="C25" s="3" t="s">
        <v>120</v>
      </c>
      <c r="D25" s="2" t="s">
        <v>121</v>
      </c>
      <c r="E25" s="2" t="s">
        <v>122</v>
      </c>
      <c r="F25" s="2" t="s">
        <v>123</v>
      </c>
      <c r="G25" s="2" t="s">
        <v>124</v>
      </c>
      <c r="H25" s="2"/>
    </row>
    <row r="26" spans="1:8" ht="54" customHeight="1">
      <c r="A26" s="4" t="s">
        <v>125</v>
      </c>
      <c r="B26" s="5" t="s">
        <v>12</v>
      </c>
      <c r="C26" s="5" t="s">
        <v>126</v>
      </c>
      <c r="D26" s="4" t="s">
        <v>127</v>
      </c>
      <c r="E26" s="4" t="s">
        <v>128</v>
      </c>
      <c r="F26" s="4" t="s">
        <v>61</v>
      </c>
      <c r="G26" s="4" t="s">
        <v>129</v>
      </c>
      <c r="H26" s="4"/>
    </row>
    <row r="27" spans="1:8" ht="54" customHeight="1">
      <c r="A27" s="2" t="s">
        <v>125</v>
      </c>
      <c r="B27" s="3" t="s">
        <v>12</v>
      </c>
      <c r="C27" s="3" t="s">
        <v>130</v>
      </c>
      <c r="D27" s="2" t="s">
        <v>131</v>
      </c>
      <c r="E27" s="2" t="s">
        <v>132</v>
      </c>
      <c r="F27" s="2" t="s">
        <v>133</v>
      </c>
      <c r="G27" s="2" t="s">
        <v>134</v>
      </c>
      <c r="H27" s="2"/>
    </row>
    <row r="28" spans="1:8" ht="54" customHeight="1">
      <c r="A28" s="4" t="s">
        <v>125</v>
      </c>
      <c r="B28" s="5" t="s">
        <v>12</v>
      </c>
      <c r="C28" s="5" t="s">
        <v>135</v>
      </c>
      <c r="D28" s="4" t="s">
        <v>136</v>
      </c>
      <c r="E28" s="4" t="s">
        <v>137</v>
      </c>
      <c r="F28" s="4" t="s">
        <v>138</v>
      </c>
      <c r="G28" s="4" t="s">
        <v>139</v>
      </c>
      <c r="H28" s="4"/>
    </row>
    <row r="29" spans="1:8" ht="54" customHeight="1">
      <c r="A29" s="2" t="s">
        <v>125</v>
      </c>
      <c r="B29" s="3" t="s">
        <v>78</v>
      </c>
      <c r="C29" s="3" t="s">
        <v>140</v>
      </c>
      <c r="D29" s="2" t="s">
        <v>141</v>
      </c>
      <c r="E29" s="2" t="s">
        <v>142</v>
      </c>
      <c r="F29" s="2" t="s">
        <v>138</v>
      </c>
      <c r="G29" s="2" t="s">
        <v>143</v>
      </c>
      <c r="H29" s="2"/>
    </row>
    <row r="30" spans="1:8" ht="54" customHeight="1">
      <c r="A30" s="4" t="s">
        <v>125</v>
      </c>
      <c r="B30" s="5" t="s">
        <v>78</v>
      </c>
      <c r="C30" s="5" t="s">
        <v>144</v>
      </c>
      <c r="D30" s="4" t="s">
        <v>145</v>
      </c>
      <c r="E30" s="4" t="s">
        <v>146</v>
      </c>
      <c r="F30" s="4" t="s">
        <v>147</v>
      </c>
      <c r="G30" s="4" t="s">
        <v>148</v>
      </c>
      <c r="H30" s="4"/>
    </row>
    <row r="31" spans="1:8" ht="54" customHeight="1">
      <c r="A31" s="2" t="s">
        <v>125</v>
      </c>
      <c r="B31" s="3" t="s">
        <v>12</v>
      </c>
      <c r="C31" s="3" t="s">
        <v>149</v>
      </c>
      <c r="D31" s="2" t="s">
        <v>150</v>
      </c>
      <c r="E31" s="2" t="s">
        <v>151</v>
      </c>
      <c r="F31" s="2" t="s">
        <v>152</v>
      </c>
      <c r="G31" s="2" t="s">
        <v>153</v>
      </c>
      <c r="H31" s="2"/>
    </row>
    <row r="32" spans="1:8" ht="54" customHeight="1">
      <c r="A32" s="4" t="s">
        <v>125</v>
      </c>
      <c r="B32" s="5" t="s">
        <v>12</v>
      </c>
      <c r="C32" s="5" t="s">
        <v>154</v>
      </c>
      <c r="D32" s="4" t="s">
        <v>155</v>
      </c>
      <c r="E32" s="4" t="s">
        <v>156</v>
      </c>
      <c r="F32" s="4" t="s">
        <v>157</v>
      </c>
      <c r="G32" s="4" t="s">
        <v>158</v>
      </c>
      <c r="H32" s="4"/>
    </row>
    <row r="33" spans="1:8" ht="54" customHeight="1">
      <c r="A33" s="2" t="s">
        <v>125</v>
      </c>
      <c r="B33" s="3" t="s">
        <v>11</v>
      </c>
      <c r="C33" s="3" t="s">
        <v>159</v>
      </c>
      <c r="D33" s="2" t="s">
        <v>160</v>
      </c>
      <c r="E33" s="2" t="s">
        <v>161</v>
      </c>
      <c r="F33" s="2" t="s">
        <v>162</v>
      </c>
      <c r="G33" s="2" t="s">
        <v>163</v>
      </c>
      <c r="H33" s="2"/>
    </row>
    <row r="34" spans="1:8" ht="54" customHeight="1">
      <c r="A34" s="4" t="s">
        <v>125</v>
      </c>
      <c r="B34" s="5" t="s">
        <v>11</v>
      </c>
      <c r="C34" s="5" t="s">
        <v>164</v>
      </c>
      <c r="D34" s="4" t="s">
        <v>165</v>
      </c>
      <c r="E34" s="4" t="s">
        <v>166</v>
      </c>
      <c r="F34" s="4" t="s">
        <v>167</v>
      </c>
      <c r="G34" s="4" t="s">
        <v>168</v>
      </c>
      <c r="H34" s="4"/>
    </row>
    <row r="35" spans="1:8" ht="54" customHeight="1">
      <c r="A35" s="2" t="s">
        <v>125</v>
      </c>
      <c r="B35" s="3" t="s">
        <v>12</v>
      </c>
      <c r="C35" s="3" t="s">
        <v>169</v>
      </c>
      <c r="D35" s="2" t="s">
        <v>170</v>
      </c>
      <c r="E35" s="2" t="s">
        <v>171</v>
      </c>
      <c r="F35" s="2" t="s">
        <v>172</v>
      </c>
      <c r="G35" s="2" t="s">
        <v>173</v>
      </c>
      <c r="H35" s="2"/>
    </row>
    <row r="36" spans="1:8" ht="54" customHeight="1">
      <c r="A36" s="4" t="s">
        <v>125</v>
      </c>
      <c r="B36" s="5" t="s">
        <v>12</v>
      </c>
      <c r="C36" s="5" t="s">
        <v>174</v>
      </c>
      <c r="D36" s="4" t="s">
        <v>175</v>
      </c>
      <c r="E36" s="4" t="s">
        <v>176</v>
      </c>
      <c r="F36" s="4" t="s">
        <v>177</v>
      </c>
      <c r="G36" s="4" t="s">
        <v>178</v>
      </c>
      <c r="H36" s="4"/>
    </row>
    <row r="37" spans="1:8" ht="54" customHeight="1">
      <c r="A37" s="2" t="s">
        <v>125</v>
      </c>
      <c r="B37" s="3" t="s">
        <v>11</v>
      </c>
      <c r="C37" s="3" t="s">
        <v>179</v>
      </c>
      <c r="D37" s="2" t="s">
        <v>180</v>
      </c>
      <c r="E37" s="2" t="s">
        <v>181</v>
      </c>
      <c r="F37" s="2" t="s">
        <v>182</v>
      </c>
      <c r="G37" s="2" t="s">
        <v>183</v>
      </c>
      <c r="H37" s="2"/>
    </row>
    <row r="38" spans="1:8" ht="54" customHeight="1">
      <c r="A38" s="4" t="s">
        <v>184</v>
      </c>
      <c r="B38" s="5" t="s">
        <v>12</v>
      </c>
      <c r="C38" s="5" t="s">
        <v>185</v>
      </c>
      <c r="D38" s="4" t="s">
        <v>186</v>
      </c>
      <c r="E38" s="4" t="s">
        <v>187</v>
      </c>
      <c r="F38" s="4" t="s">
        <v>188</v>
      </c>
      <c r="G38" s="4" t="s">
        <v>189</v>
      </c>
      <c r="H38" s="4"/>
    </row>
    <row r="39" spans="1:8" ht="54" customHeight="1">
      <c r="A39" s="2" t="s">
        <v>184</v>
      </c>
      <c r="B39" s="3" t="s">
        <v>11</v>
      </c>
      <c r="C39" s="3" t="s">
        <v>190</v>
      </c>
      <c r="D39" s="2" t="s">
        <v>191</v>
      </c>
      <c r="E39" s="2" t="s">
        <v>192</v>
      </c>
      <c r="F39" s="2" t="s">
        <v>193</v>
      </c>
      <c r="G39" s="2" t="s">
        <v>194</v>
      </c>
      <c r="H39" s="2"/>
    </row>
    <row r="40" spans="1:8" ht="54" customHeight="1">
      <c r="A40" s="4" t="s">
        <v>184</v>
      </c>
      <c r="B40" s="5" t="s">
        <v>78</v>
      </c>
      <c r="C40" s="5" t="s">
        <v>195</v>
      </c>
      <c r="D40" s="4" t="s">
        <v>196</v>
      </c>
      <c r="E40" s="4" t="s">
        <v>197</v>
      </c>
      <c r="F40" s="4" t="s">
        <v>198</v>
      </c>
      <c r="G40" s="4" t="s">
        <v>199</v>
      </c>
      <c r="H40" s="4"/>
    </row>
    <row r="41" spans="1:8" ht="54" customHeight="1">
      <c r="A41" s="2" t="s">
        <v>184</v>
      </c>
      <c r="B41" s="3" t="s">
        <v>78</v>
      </c>
      <c r="C41" s="3" t="s">
        <v>200</v>
      </c>
      <c r="D41" s="2" t="s">
        <v>201</v>
      </c>
      <c r="E41" s="2" t="s">
        <v>202</v>
      </c>
      <c r="F41" s="2" t="s">
        <v>203</v>
      </c>
      <c r="G41" s="2" t="s">
        <v>204</v>
      </c>
      <c r="H41" s="2"/>
    </row>
    <row r="42" spans="1:8" ht="54" customHeight="1">
      <c r="A42" s="4" t="s">
        <v>184</v>
      </c>
      <c r="B42" s="5" t="s">
        <v>11</v>
      </c>
      <c r="C42" s="5" t="s">
        <v>205</v>
      </c>
      <c r="D42" s="4" t="s">
        <v>206</v>
      </c>
      <c r="E42" s="4" t="s">
        <v>207</v>
      </c>
      <c r="F42" s="4" t="s">
        <v>208</v>
      </c>
      <c r="G42" s="4" t="s">
        <v>209</v>
      </c>
      <c r="H42" s="4"/>
    </row>
    <row r="43" spans="1:8" ht="54" customHeight="1">
      <c r="A43" s="2" t="s">
        <v>184</v>
      </c>
      <c r="B43" s="3" t="s">
        <v>78</v>
      </c>
      <c r="C43" s="3" t="s">
        <v>210</v>
      </c>
      <c r="D43" s="2" t="s">
        <v>211</v>
      </c>
      <c r="E43" s="2" t="s">
        <v>212</v>
      </c>
      <c r="F43" s="2" t="s">
        <v>213</v>
      </c>
      <c r="G43" s="2" t="s">
        <v>214</v>
      </c>
      <c r="H43" s="2"/>
    </row>
    <row r="44" spans="1:8" ht="54" customHeight="1">
      <c r="A44" s="4" t="s">
        <v>184</v>
      </c>
      <c r="B44" s="5" t="s">
        <v>12</v>
      </c>
      <c r="C44" s="5" t="s">
        <v>215</v>
      </c>
      <c r="D44" s="4" t="s">
        <v>216</v>
      </c>
      <c r="E44" s="4" t="s">
        <v>217</v>
      </c>
      <c r="F44" s="4" t="s">
        <v>218</v>
      </c>
      <c r="G44" s="4" t="s">
        <v>219</v>
      </c>
      <c r="H44" s="4"/>
    </row>
    <row r="45" spans="1:8" ht="54" customHeight="1">
      <c r="A45" s="2" t="s">
        <v>220</v>
      </c>
      <c r="B45" s="3" t="s">
        <v>78</v>
      </c>
      <c r="C45" s="3" t="s">
        <v>221</v>
      </c>
      <c r="D45" s="2" t="s">
        <v>222</v>
      </c>
      <c r="E45" s="2" t="s">
        <v>223</v>
      </c>
      <c r="F45" s="2" t="s">
        <v>224</v>
      </c>
      <c r="G45" s="2" t="s">
        <v>225</v>
      </c>
      <c r="H45" s="2"/>
    </row>
    <row r="46" spans="1:8" ht="54" customHeight="1">
      <c r="A46" s="4" t="s">
        <v>220</v>
      </c>
      <c r="B46" s="5" t="s">
        <v>11</v>
      </c>
      <c r="C46" s="5" t="s">
        <v>226</v>
      </c>
      <c r="D46" s="4" t="s">
        <v>227</v>
      </c>
      <c r="E46" s="4" t="s">
        <v>228</v>
      </c>
      <c r="F46" s="4" t="s">
        <v>229</v>
      </c>
      <c r="G46" s="4" t="s">
        <v>230</v>
      </c>
      <c r="H46" s="4"/>
    </row>
    <row r="47" spans="1:8" ht="54" customHeight="1">
      <c r="A47" s="2" t="s">
        <v>220</v>
      </c>
      <c r="B47" s="3" t="s">
        <v>12</v>
      </c>
      <c r="C47" s="3" t="s">
        <v>231</v>
      </c>
      <c r="D47" s="2" t="s">
        <v>232</v>
      </c>
      <c r="E47" s="2" t="s">
        <v>233</v>
      </c>
      <c r="F47" s="2" t="s">
        <v>234</v>
      </c>
      <c r="G47" s="2" t="s">
        <v>235</v>
      </c>
      <c r="H47" s="2"/>
    </row>
    <row r="48" spans="1:8" ht="54" customHeight="1">
      <c r="A48" s="4" t="s">
        <v>220</v>
      </c>
      <c r="B48" s="5" t="s">
        <v>12</v>
      </c>
      <c r="C48" s="5" t="s">
        <v>236</v>
      </c>
      <c r="D48" s="4" t="s">
        <v>237</v>
      </c>
      <c r="E48" s="4" t="s">
        <v>238</v>
      </c>
      <c r="F48" s="4" t="s">
        <v>239</v>
      </c>
      <c r="G48" s="4" t="s">
        <v>240</v>
      </c>
      <c r="H48" s="4"/>
    </row>
    <row r="49" spans="1:8" ht="54" customHeight="1">
      <c r="A49" s="2" t="s">
        <v>220</v>
      </c>
      <c r="B49" s="3" t="s">
        <v>12</v>
      </c>
      <c r="C49" s="3" t="s">
        <v>241</v>
      </c>
      <c r="D49" s="2" t="s">
        <v>242</v>
      </c>
      <c r="E49" s="2" t="s">
        <v>243</v>
      </c>
      <c r="F49" s="2" t="s">
        <v>244</v>
      </c>
      <c r="G49" s="2" t="s">
        <v>245</v>
      </c>
      <c r="H49" s="2"/>
    </row>
    <row r="50" spans="1:8" ht="54" customHeight="1">
      <c r="A50" s="4" t="s">
        <v>220</v>
      </c>
      <c r="B50" s="5" t="s">
        <v>12</v>
      </c>
      <c r="C50" s="5" t="s">
        <v>246</v>
      </c>
      <c r="D50" s="4" t="s">
        <v>247</v>
      </c>
      <c r="E50" s="4" t="s">
        <v>248</v>
      </c>
      <c r="F50" s="4" t="s">
        <v>249</v>
      </c>
      <c r="G50" s="4" t="s">
        <v>250</v>
      </c>
      <c r="H50" s="4"/>
    </row>
    <row r="51" spans="1:8" ht="54" customHeight="1">
      <c r="A51" s="2" t="s">
        <v>220</v>
      </c>
      <c r="B51" s="3" t="s">
        <v>78</v>
      </c>
      <c r="C51" s="3" t="s">
        <v>251</v>
      </c>
      <c r="D51" s="2" t="s">
        <v>252</v>
      </c>
      <c r="E51" s="2" t="s">
        <v>253</v>
      </c>
      <c r="F51" s="2" t="s">
        <v>254</v>
      </c>
      <c r="G51" s="2" t="s">
        <v>255</v>
      </c>
      <c r="H51" s="2"/>
    </row>
    <row r="52" spans="1:8" ht="54" customHeight="1">
      <c r="A52" s="4" t="s">
        <v>220</v>
      </c>
      <c r="B52" s="5" t="s">
        <v>78</v>
      </c>
      <c r="C52" s="5" t="s">
        <v>256</v>
      </c>
      <c r="D52" s="4" t="s">
        <v>257</v>
      </c>
      <c r="E52" s="4" t="s">
        <v>258</v>
      </c>
      <c r="F52" s="4" t="s">
        <v>259</v>
      </c>
      <c r="G52" s="4" t="s">
        <v>260</v>
      </c>
      <c r="H52" s="4"/>
    </row>
    <row r="53" spans="1:8" ht="54" customHeight="1">
      <c r="A53" s="2" t="s">
        <v>220</v>
      </c>
      <c r="B53" s="3" t="s">
        <v>78</v>
      </c>
      <c r="C53" s="3" t="s">
        <v>261</v>
      </c>
      <c r="D53" s="2" t="s">
        <v>262</v>
      </c>
      <c r="E53" s="2" t="s">
        <v>263</v>
      </c>
      <c r="F53" s="2" t="s">
        <v>264</v>
      </c>
      <c r="G53" s="2" t="s">
        <v>265</v>
      </c>
      <c r="H53" s="2"/>
    </row>
    <row r="54" spans="1:8" ht="54" customHeight="1">
      <c r="A54" s="4" t="s">
        <v>266</v>
      </c>
      <c r="B54" s="5" t="s">
        <v>11</v>
      </c>
      <c r="C54" s="5" t="s">
        <v>267</v>
      </c>
      <c r="D54" s="4" t="s">
        <v>268</v>
      </c>
      <c r="E54" s="4" t="s">
        <v>269</v>
      </c>
      <c r="F54" s="4" t="s">
        <v>270</v>
      </c>
      <c r="G54" s="4" t="s">
        <v>271</v>
      </c>
      <c r="H54" s="4"/>
    </row>
    <row r="55" spans="1:8" ht="54" customHeight="1">
      <c r="A55" s="2" t="s">
        <v>266</v>
      </c>
      <c r="B55" s="3" t="s">
        <v>78</v>
      </c>
      <c r="C55" s="3" t="s">
        <v>272</v>
      </c>
      <c r="D55" s="2" t="s">
        <v>273</v>
      </c>
      <c r="E55" s="2" t="s">
        <v>274</v>
      </c>
      <c r="F55" s="2" t="s">
        <v>275</v>
      </c>
      <c r="G55" s="2" t="s">
        <v>276</v>
      </c>
      <c r="H55" s="2"/>
    </row>
    <row r="56" spans="1:8" ht="54" customHeight="1">
      <c r="A56" s="4" t="s">
        <v>266</v>
      </c>
      <c r="B56" s="5" t="s">
        <v>12</v>
      </c>
      <c r="C56" s="5" t="s">
        <v>277</v>
      </c>
      <c r="D56" s="4" t="s">
        <v>278</v>
      </c>
      <c r="E56" s="4" t="s">
        <v>279</v>
      </c>
      <c r="F56" s="4" t="s">
        <v>280</v>
      </c>
      <c r="G56" s="4" t="s">
        <v>281</v>
      </c>
      <c r="H56" s="4"/>
    </row>
    <row r="57" spans="1:8" ht="54" customHeight="1">
      <c r="A57" s="2" t="s">
        <v>266</v>
      </c>
      <c r="B57" s="3" t="s">
        <v>12</v>
      </c>
      <c r="C57" s="3" t="s">
        <v>282</v>
      </c>
      <c r="D57" s="2" t="s">
        <v>283</v>
      </c>
      <c r="E57" s="2" t="s">
        <v>284</v>
      </c>
      <c r="F57" s="2" t="s">
        <v>285</v>
      </c>
      <c r="G57" s="2" t="s">
        <v>286</v>
      </c>
      <c r="H57" s="2"/>
    </row>
    <row r="58" spans="1:8" ht="54" customHeight="1">
      <c r="A58" s="4" t="s">
        <v>266</v>
      </c>
      <c r="B58" s="5" t="s">
        <v>12</v>
      </c>
      <c r="C58" s="5" t="s">
        <v>287</v>
      </c>
      <c r="D58" s="4" t="s">
        <v>288</v>
      </c>
      <c r="E58" s="4" t="s">
        <v>289</v>
      </c>
      <c r="F58" s="4" t="s">
        <v>290</v>
      </c>
      <c r="G58" s="4" t="s">
        <v>291</v>
      </c>
      <c r="H58" s="4"/>
    </row>
    <row r="59" spans="1:8" ht="54" customHeight="1">
      <c r="A59" s="2" t="s">
        <v>266</v>
      </c>
      <c r="B59" s="3" t="s">
        <v>78</v>
      </c>
      <c r="C59" s="3" t="s">
        <v>292</v>
      </c>
      <c r="D59" s="2" t="s">
        <v>293</v>
      </c>
      <c r="E59" s="2" t="s">
        <v>294</v>
      </c>
      <c r="F59" s="2" t="s">
        <v>295</v>
      </c>
      <c r="G59" s="2" t="s">
        <v>296</v>
      </c>
      <c r="H59" s="2"/>
    </row>
    <row r="60" spans="1:8" ht="54" customHeight="1">
      <c r="A60" s="4" t="s">
        <v>266</v>
      </c>
      <c r="B60" s="5" t="s">
        <v>12</v>
      </c>
      <c r="C60" s="5" t="s">
        <v>297</v>
      </c>
      <c r="D60" s="4" t="s">
        <v>298</v>
      </c>
      <c r="E60" s="4" t="s">
        <v>299</v>
      </c>
      <c r="F60" s="4" t="s">
        <v>31</v>
      </c>
      <c r="G60" s="4" t="s">
        <v>300</v>
      </c>
      <c r="H60" s="4"/>
    </row>
    <row r="61" spans="1:8" ht="54" customHeight="1">
      <c r="A61" s="2" t="s">
        <v>266</v>
      </c>
      <c r="B61" s="3" t="s">
        <v>12</v>
      </c>
      <c r="C61" s="3" t="s">
        <v>301</v>
      </c>
      <c r="D61" s="2" t="s">
        <v>302</v>
      </c>
      <c r="E61" s="2" t="s">
        <v>303</v>
      </c>
      <c r="F61" s="2" t="s">
        <v>304</v>
      </c>
      <c r="G61" s="2" t="s">
        <v>305</v>
      </c>
      <c r="H61" s="2"/>
    </row>
    <row r="62" spans="1:8" ht="54" customHeight="1">
      <c r="A62" s="4" t="s">
        <v>266</v>
      </c>
      <c r="B62" s="5" t="s">
        <v>12</v>
      </c>
      <c r="C62" s="5" t="s">
        <v>306</v>
      </c>
      <c r="D62" s="4" t="s">
        <v>307</v>
      </c>
      <c r="E62" s="4" t="s">
        <v>308</v>
      </c>
      <c r="F62" s="4" t="s">
        <v>309</v>
      </c>
      <c r="G62" s="4" t="s">
        <v>310</v>
      </c>
      <c r="H62" s="4"/>
    </row>
    <row r="63" spans="1:8" ht="54" customHeight="1">
      <c r="A63" s="2" t="s">
        <v>266</v>
      </c>
      <c r="B63" s="3" t="s">
        <v>12</v>
      </c>
      <c r="C63" s="3" t="s">
        <v>311</v>
      </c>
      <c r="D63" s="2" t="s">
        <v>312</v>
      </c>
      <c r="E63" s="2" t="s">
        <v>313</v>
      </c>
      <c r="F63" s="2" t="s">
        <v>314</v>
      </c>
      <c r="G63" s="2" t="s">
        <v>315</v>
      </c>
      <c r="H63" s="2"/>
    </row>
    <row r="64" spans="1:8" ht="54" customHeight="1">
      <c r="A64" s="4" t="s">
        <v>266</v>
      </c>
      <c r="B64" s="5" t="s">
        <v>78</v>
      </c>
      <c r="C64" s="5" t="s">
        <v>316</v>
      </c>
      <c r="D64" s="4" t="s">
        <v>317</v>
      </c>
      <c r="E64" s="4" t="s">
        <v>318</v>
      </c>
      <c r="F64" s="4" t="s">
        <v>319</v>
      </c>
      <c r="G64" s="4" t="s">
        <v>320</v>
      </c>
      <c r="H64" s="4"/>
    </row>
    <row r="65" spans="1:8" ht="54" customHeight="1">
      <c r="A65" s="2" t="s">
        <v>266</v>
      </c>
      <c r="B65" s="3" t="s">
        <v>78</v>
      </c>
      <c r="C65" s="3" t="s">
        <v>321</v>
      </c>
      <c r="D65" s="2" t="s">
        <v>322</v>
      </c>
      <c r="E65" s="2" t="s">
        <v>323</v>
      </c>
      <c r="F65" s="2" t="s">
        <v>324</v>
      </c>
      <c r="G65" s="2" t="s">
        <v>325</v>
      </c>
      <c r="H65" s="2"/>
    </row>
    <row r="66" spans="1:8" ht="54" customHeight="1">
      <c r="A66" s="4" t="s">
        <v>266</v>
      </c>
      <c r="B66" s="5" t="s">
        <v>78</v>
      </c>
      <c r="C66" s="5" t="s">
        <v>326</v>
      </c>
      <c r="D66" s="4" t="s">
        <v>327</v>
      </c>
      <c r="E66" s="4" t="s">
        <v>328</v>
      </c>
      <c r="F66" s="4" t="s">
        <v>329</v>
      </c>
      <c r="G66" s="4" t="s">
        <v>330</v>
      </c>
      <c r="H66" s="4"/>
    </row>
    <row r="67" spans="1:8" ht="54" customHeight="1">
      <c r="A67" s="2" t="s">
        <v>266</v>
      </c>
      <c r="B67" s="3" t="s">
        <v>78</v>
      </c>
      <c r="C67" s="3" t="s">
        <v>331</v>
      </c>
      <c r="D67" s="2" t="s">
        <v>332</v>
      </c>
      <c r="E67" s="2" t="s">
        <v>333</v>
      </c>
      <c r="F67" s="2" t="s">
        <v>334</v>
      </c>
      <c r="G67" s="2" t="s">
        <v>335</v>
      </c>
      <c r="H67" s="2"/>
    </row>
    <row r="68" spans="1:8" ht="54" customHeight="1">
      <c r="A68" s="4" t="s">
        <v>336</v>
      </c>
      <c r="B68" s="5" t="s">
        <v>12</v>
      </c>
      <c r="C68" s="5" t="s">
        <v>337</v>
      </c>
      <c r="D68" s="4" t="s">
        <v>338</v>
      </c>
      <c r="E68" s="4" t="s">
        <v>339</v>
      </c>
      <c r="F68" s="4" t="s">
        <v>340</v>
      </c>
      <c r="G68" s="4" t="s">
        <v>341</v>
      </c>
      <c r="H68" s="4"/>
    </row>
    <row r="69" spans="1:8" ht="54" customHeight="1">
      <c r="A69" s="2" t="s">
        <v>336</v>
      </c>
      <c r="B69" s="3" t="s">
        <v>12</v>
      </c>
      <c r="C69" s="3" t="s">
        <v>342</v>
      </c>
      <c r="D69" s="2" t="s">
        <v>343</v>
      </c>
      <c r="E69" s="2" t="s">
        <v>344</v>
      </c>
      <c r="F69" s="2" t="s">
        <v>345</v>
      </c>
      <c r="G69" s="2" t="s">
        <v>346</v>
      </c>
      <c r="H69" s="2"/>
    </row>
    <row r="70" spans="1:8" ht="54" customHeight="1">
      <c r="A70" s="4" t="s">
        <v>336</v>
      </c>
      <c r="B70" s="5" t="s">
        <v>12</v>
      </c>
      <c r="C70" s="5" t="s">
        <v>347</v>
      </c>
      <c r="D70" s="4" t="s">
        <v>348</v>
      </c>
      <c r="E70" s="4" t="s">
        <v>349</v>
      </c>
      <c r="F70" s="4" t="s">
        <v>16</v>
      </c>
      <c r="G70" s="4" t="s">
        <v>350</v>
      </c>
      <c r="H70" s="4"/>
    </row>
    <row r="71" spans="1:8" ht="54" customHeight="1">
      <c r="A71" s="2" t="s">
        <v>336</v>
      </c>
      <c r="B71" s="3" t="s">
        <v>12</v>
      </c>
      <c r="C71" s="3" t="s">
        <v>351</v>
      </c>
      <c r="D71" s="2" t="s">
        <v>352</v>
      </c>
      <c r="E71" s="2" t="s">
        <v>353</v>
      </c>
      <c r="F71" s="2" t="s">
        <v>354</v>
      </c>
      <c r="G71" s="2" t="s">
        <v>355</v>
      </c>
      <c r="H71" s="2"/>
    </row>
    <row r="72" spans="1:8" ht="54" customHeight="1">
      <c r="A72" s="4" t="s">
        <v>336</v>
      </c>
      <c r="B72" s="5" t="s">
        <v>12</v>
      </c>
      <c r="C72" s="5" t="s">
        <v>356</v>
      </c>
      <c r="D72" s="4" t="s">
        <v>357</v>
      </c>
      <c r="E72" s="4" t="s">
        <v>358</v>
      </c>
      <c r="F72" s="4" t="s">
        <v>359</v>
      </c>
      <c r="G72" s="4" t="s">
        <v>360</v>
      </c>
      <c r="H72" s="4"/>
    </row>
    <row r="73" spans="1:8" ht="54" customHeight="1">
      <c r="A73" s="2" t="s">
        <v>361</v>
      </c>
      <c r="B73" s="3" t="s">
        <v>78</v>
      </c>
      <c r="C73" s="3" t="s">
        <v>362</v>
      </c>
      <c r="D73" s="2" t="s">
        <v>363</v>
      </c>
      <c r="E73" s="2" t="s">
        <v>364</v>
      </c>
      <c r="F73" s="2" t="s">
        <v>365</v>
      </c>
      <c r="G73" s="2" t="s">
        <v>366</v>
      </c>
      <c r="H73" s="2"/>
    </row>
    <row r="74" spans="1:8" ht="54" customHeight="1">
      <c r="A74" s="4" t="s">
        <v>361</v>
      </c>
      <c r="B74" s="5" t="s">
        <v>12</v>
      </c>
      <c r="C74" s="5" t="s">
        <v>367</v>
      </c>
      <c r="D74" s="4" t="s">
        <v>368</v>
      </c>
      <c r="E74" s="4" t="s">
        <v>369</v>
      </c>
      <c r="F74" s="4" t="s">
        <v>370</v>
      </c>
      <c r="G74" s="4" t="s">
        <v>371</v>
      </c>
      <c r="H74" s="4"/>
    </row>
    <row r="75" spans="1:8" ht="54" customHeight="1">
      <c r="A75" s="2" t="s">
        <v>361</v>
      </c>
      <c r="B75" s="3" t="s">
        <v>78</v>
      </c>
      <c r="C75" s="3" t="s">
        <v>372</v>
      </c>
      <c r="D75" s="2" t="s">
        <v>373</v>
      </c>
      <c r="E75" s="2" t="s">
        <v>374</v>
      </c>
      <c r="F75" s="2" t="s">
        <v>375</v>
      </c>
      <c r="G75" s="2" t="s">
        <v>376</v>
      </c>
      <c r="H75" s="2"/>
    </row>
    <row r="76" spans="1:8" ht="54" customHeight="1">
      <c r="A76" s="4" t="s">
        <v>361</v>
      </c>
      <c r="B76" s="5" t="s">
        <v>12</v>
      </c>
      <c r="C76" s="5" t="s">
        <v>377</v>
      </c>
      <c r="D76" s="4" t="s">
        <v>378</v>
      </c>
      <c r="E76" s="4" t="s">
        <v>379</v>
      </c>
      <c r="F76" s="4" t="s">
        <v>380</v>
      </c>
      <c r="G76" s="4" t="s">
        <v>381</v>
      </c>
      <c r="H76" s="4"/>
    </row>
    <row r="77" spans="1:8" ht="54" customHeight="1">
      <c r="A77" s="2" t="s">
        <v>361</v>
      </c>
      <c r="B77" s="3" t="s">
        <v>12</v>
      </c>
      <c r="C77" s="3" t="s">
        <v>382</v>
      </c>
      <c r="D77" s="2" t="s">
        <v>383</v>
      </c>
      <c r="E77" s="2" t="s">
        <v>384</v>
      </c>
      <c r="F77" s="2" t="s">
        <v>385</v>
      </c>
      <c r="G77" s="2" t="s">
        <v>386</v>
      </c>
      <c r="H77" s="2"/>
    </row>
    <row r="78" spans="1:8" ht="54" customHeight="1">
      <c r="A78" s="2" t="s">
        <v>361</v>
      </c>
      <c r="B78" s="3" t="s">
        <v>12</v>
      </c>
      <c r="C78" s="3" t="s">
        <v>387</v>
      </c>
      <c r="D78" s="2" t="s">
        <v>388</v>
      </c>
      <c r="E78" s="2" t="s">
        <v>389</v>
      </c>
      <c r="F78" s="2" t="s">
        <v>359</v>
      </c>
      <c r="G78" s="2" t="s">
        <v>390</v>
      </c>
      <c r="H78" s="2"/>
    </row>
    <row r="79" spans="1:8" ht="54" customHeight="1">
      <c r="A79" s="4" t="s">
        <v>361</v>
      </c>
      <c r="B79" s="5" t="s">
        <v>12</v>
      </c>
      <c r="C79" s="5" t="s">
        <v>391</v>
      </c>
      <c r="D79" s="4" t="s">
        <v>392</v>
      </c>
      <c r="E79" s="4" t="s">
        <v>393</v>
      </c>
      <c r="F79" s="4" t="s">
        <v>394</v>
      </c>
      <c r="G79" s="4" t="s">
        <v>395</v>
      </c>
      <c r="H79" s="4"/>
    </row>
    <row r="80" spans="1:8" ht="54" customHeight="1">
      <c r="A80" s="2" t="s">
        <v>361</v>
      </c>
      <c r="B80" s="3" t="s">
        <v>12</v>
      </c>
      <c r="C80" s="3" t="s">
        <v>396</v>
      </c>
      <c r="D80" s="2" t="s">
        <v>397</v>
      </c>
      <c r="E80" s="2" t="s">
        <v>398</v>
      </c>
      <c r="F80" s="2" t="s">
        <v>399</v>
      </c>
      <c r="G80" s="2" t="s">
        <v>400</v>
      </c>
      <c r="H80" s="2"/>
    </row>
    <row r="81" spans="1:8" ht="54" customHeight="1">
      <c r="A81" s="4" t="s">
        <v>401</v>
      </c>
      <c r="B81" s="5" t="s">
        <v>12</v>
      </c>
      <c r="C81" s="5" t="s">
        <v>402</v>
      </c>
      <c r="D81" s="4" t="s">
        <v>403</v>
      </c>
      <c r="E81" s="4" t="s">
        <v>404</v>
      </c>
      <c r="F81" s="4" t="s">
        <v>405</v>
      </c>
      <c r="G81" s="4" t="s">
        <v>406</v>
      </c>
      <c r="H81" s="4"/>
    </row>
    <row r="82" spans="1:8" ht="54" customHeight="1">
      <c r="A82" s="2" t="s">
        <v>401</v>
      </c>
      <c r="B82" s="3" t="s">
        <v>78</v>
      </c>
      <c r="C82" s="3" t="s">
        <v>407</v>
      </c>
      <c r="D82" s="2" t="s">
        <v>408</v>
      </c>
      <c r="E82" s="2" t="s">
        <v>409</v>
      </c>
      <c r="F82" s="2" t="s">
        <v>410</v>
      </c>
      <c r="G82" s="2" t="s">
        <v>411</v>
      </c>
      <c r="H82" s="2"/>
    </row>
    <row r="83" spans="1:8" ht="54" customHeight="1">
      <c r="A83" s="4" t="s">
        <v>401</v>
      </c>
      <c r="B83" s="5" t="s">
        <v>78</v>
      </c>
      <c r="C83" s="5" t="s">
        <v>412</v>
      </c>
      <c r="D83" s="4" t="s">
        <v>413</v>
      </c>
      <c r="E83" s="4" t="s">
        <v>414</v>
      </c>
      <c r="F83" s="4" t="s">
        <v>415</v>
      </c>
      <c r="G83" s="4" t="s">
        <v>416</v>
      </c>
      <c r="H83" s="4"/>
    </row>
    <row r="84" spans="1:8" ht="54" customHeight="1">
      <c r="A84" s="2" t="s">
        <v>401</v>
      </c>
      <c r="B84" s="3" t="s">
        <v>78</v>
      </c>
      <c r="C84" s="3" t="s">
        <v>417</v>
      </c>
      <c r="D84" s="2" t="s">
        <v>418</v>
      </c>
      <c r="E84" s="2" t="s">
        <v>419</v>
      </c>
      <c r="F84" s="2" t="s">
        <v>420</v>
      </c>
      <c r="G84" s="2" t="s">
        <v>421</v>
      </c>
      <c r="H84" s="2"/>
    </row>
    <row r="85" spans="1:8" ht="54" customHeight="1">
      <c r="A85" s="4" t="s">
        <v>401</v>
      </c>
      <c r="B85" s="5" t="s">
        <v>78</v>
      </c>
      <c r="C85" s="5" t="s">
        <v>422</v>
      </c>
      <c r="D85" s="4" t="s">
        <v>423</v>
      </c>
      <c r="E85" s="4" t="s">
        <v>424</v>
      </c>
      <c r="F85" s="4" t="s">
        <v>425</v>
      </c>
      <c r="G85" s="4" t="s">
        <v>426</v>
      </c>
      <c r="H85" s="4"/>
    </row>
    <row r="86" spans="1:8" ht="54" customHeight="1">
      <c r="A86" s="2" t="s">
        <v>401</v>
      </c>
      <c r="B86" s="3" t="s">
        <v>78</v>
      </c>
      <c r="C86" s="3" t="s">
        <v>427</v>
      </c>
      <c r="D86" s="2" t="s">
        <v>428</v>
      </c>
      <c r="E86" s="2" t="s">
        <v>429</v>
      </c>
      <c r="F86" s="2" t="s">
        <v>430</v>
      </c>
      <c r="G86" s="2" t="s">
        <v>431</v>
      </c>
      <c r="H86" s="2"/>
    </row>
    <row r="87" spans="1:8" ht="54" customHeight="1">
      <c r="A87" s="4" t="s">
        <v>401</v>
      </c>
      <c r="B87" s="5" t="s">
        <v>78</v>
      </c>
      <c r="C87" s="5" t="s">
        <v>432</v>
      </c>
      <c r="D87" s="4" t="s">
        <v>433</v>
      </c>
      <c r="E87" s="4" t="s">
        <v>434</v>
      </c>
      <c r="F87" s="4" t="s">
        <v>435</v>
      </c>
      <c r="G87" s="4" t="s">
        <v>436</v>
      </c>
      <c r="H87" s="4"/>
    </row>
    <row r="88" spans="1:8" ht="67.95" customHeight="1">
      <c r="A88" s="16" t="s">
        <v>437</v>
      </c>
      <c r="B88" s="18" t="s">
        <v>12</v>
      </c>
      <c r="C88" s="18" t="s">
        <v>438</v>
      </c>
      <c r="D88" s="16" t="s">
        <v>439</v>
      </c>
      <c r="E88" s="16" t="s">
        <v>440</v>
      </c>
      <c r="F88" s="16" t="s">
        <v>441</v>
      </c>
      <c r="G88" s="16" t="s">
        <v>442</v>
      </c>
      <c r="H88" s="16" t="s">
        <v>443</v>
      </c>
    </row>
    <row r="89" spans="1:8" ht="67.95" customHeight="1">
      <c r="A89" s="17" t="s">
        <v>437</v>
      </c>
      <c r="B89" s="19" t="s">
        <v>12</v>
      </c>
      <c r="C89" s="19" t="s">
        <v>444</v>
      </c>
      <c r="D89" s="17" t="s">
        <v>445</v>
      </c>
      <c r="E89" s="17" t="s">
        <v>446</v>
      </c>
      <c r="F89" s="17" t="s">
        <v>447</v>
      </c>
      <c r="G89" s="17" t="s">
        <v>448</v>
      </c>
      <c r="H89" s="17" t="s">
        <v>449</v>
      </c>
    </row>
    <row r="90" spans="1:8" ht="67.95" customHeight="1">
      <c r="A90" s="16" t="s">
        <v>437</v>
      </c>
      <c r="B90" s="18" t="s">
        <v>12</v>
      </c>
      <c r="C90" s="18" t="s">
        <v>450</v>
      </c>
      <c r="D90" s="16" t="s">
        <v>451</v>
      </c>
      <c r="E90" s="16" t="s">
        <v>452</v>
      </c>
      <c r="F90" s="16" t="s">
        <v>453</v>
      </c>
      <c r="G90" s="16" t="s">
        <v>454</v>
      </c>
      <c r="H90" s="16" t="s">
        <v>455</v>
      </c>
    </row>
    <row r="91" spans="1:8" ht="67.95" customHeight="1">
      <c r="A91" s="16" t="s">
        <v>10</v>
      </c>
      <c r="B91" s="18" t="s">
        <v>12</v>
      </c>
      <c r="C91" s="18" t="s">
        <v>456</v>
      </c>
      <c r="D91" s="16" t="s">
        <v>457</v>
      </c>
      <c r="E91" s="16" t="s">
        <v>458</v>
      </c>
      <c r="F91" s="16" t="s">
        <v>459</v>
      </c>
      <c r="G91" s="16" t="s">
        <v>460</v>
      </c>
      <c r="H91" s="16" t="s">
        <v>461</v>
      </c>
    </row>
    <row r="92" spans="1:8" ht="67.95" customHeight="1">
      <c r="A92" s="17" t="s">
        <v>10</v>
      </c>
      <c r="B92" s="19" t="s">
        <v>12</v>
      </c>
      <c r="C92" s="19" t="s">
        <v>462</v>
      </c>
      <c r="D92" s="17" t="s">
        <v>463</v>
      </c>
      <c r="E92" s="17" t="s">
        <v>464</v>
      </c>
      <c r="F92" s="17" t="s">
        <v>465</v>
      </c>
      <c r="G92" s="17" t="s">
        <v>466</v>
      </c>
      <c r="H92" s="17" t="s">
        <v>467</v>
      </c>
    </row>
    <row r="93" spans="1:8" ht="67.95" customHeight="1">
      <c r="A93" s="16" t="s">
        <v>10</v>
      </c>
      <c r="B93" s="18" t="s">
        <v>12</v>
      </c>
      <c r="C93" s="18" t="s">
        <v>468</v>
      </c>
      <c r="D93" s="16" t="s">
        <v>469</v>
      </c>
      <c r="E93" s="16" t="s">
        <v>470</v>
      </c>
      <c r="F93" s="16" t="s">
        <v>471</v>
      </c>
      <c r="G93" s="16" t="s">
        <v>472</v>
      </c>
      <c r="H93" s="16" t="s">
        <v>473</v>
      </c>
    </row>
    <row r="94" spans="1:8" ht="67.95" customHeight="1">
      <c r="A94" s="17" t="s">
        <v>10</v>
      </c>
      <c r="B94" s="19" t="s">
        <v>12</v>
      </c>
      <c r="C94" s="19" t="s">
        <v>474</v>
      </c>
      <c r="D94" s="17" t="s">
        <v>475</v>
      </c>
      <c r="E94" s="17" t="s">
        <v>476</v>
      </c>
      <c r="F94" s="17" t="s">
        <v>477</v>
      </c>
      <c r="G94" s="17" t="s">
        <v>478</v>
      </c>
      <c r="H94" s="17" t="s">
        <v>479</v>
      </c>
    </row>
    <row r="95" spans="1:8" ht="67.95" customHeight="1">
      <c r="A95" s="16" t="s">
        <v>10</v>
      </c>
      <c r="B95" s="18" t="s">
        <v>11</v>
      </c>
      <c r="C95" s="18" t="s">
        <v>480</v>
      </c>
      <c r="D95" s="16" t="s">
        <v>481</v>
      </c>
      <c r="E95" s="16" t="s">
        <v>482</v>
      </c>
      <c r="F95" s="16" t="s">
        <v>483</v>
      </c>
      <c r="G95" s="16" t="s">
        <v>484</v>
      </c>
      <c r="H95" s="16" t="s">
        <v>485</v>
      </c>
    </row>
    <row r="96" spans="1:8" ht="67.95" customHeight="1">
      <c r="A96" s="17" t="s">
        <v>10</v>
      </c>
      <c r="B96" s="19" t="s">
        <v>12</v>
      </c>
      <c r="C96" s="19" t="s">
        <v>486</v>
      </c>
      <c r="D96" s="17" t="s">
        <v>487</v>
      </c>
      <c r="E96" s="17" t="s">
        <v>488</v>
      </c>
      <c r="F96" s="17" t="s">
        <v>489</v>
      </c>
      <c r="G96" s="17" t="s">
        <v>490</v>
      </c>
      <c r="H96" s="17" t="s">
        <v>491</v>
      </c>
    </row>
    <row r="97" spans="1:8" ht="67.95" customHeight="1">
      <c r="A97" s="16" t="s">
        <v>492</v>
      </c>
      <c r="B97" s="18" t="s">
        <v>12</v>
      </c>
      <c r="C97" s="18" t="s">
        <v>493</v>
      </c>
      <c r="D97" s="16" t="s">
        <v>494</v>
      </c>
      <c r="E97" s="16" t="s">
        <v>495</v>
      </c>
      <c r="F97" s="16" t="s">
        <v>496</v>
      </c>
      <c r="G97" s="16" t="s">
        <v>497</v>
      </c>
      <c r="H97" s="16" t="s">
        <v>498</v>
      </c>
    </row>
    <row r="98" spans="1:8" ht="67.95" customHeight="1">
      <c r="A98" s="17" t="s">
        <v>492</v>
      </c>
      <c r="B98" s="19" t="s">
        <v>12</v>
      </c>
      <c r="C98" s="19" t="s">
        <v>499</v>
      </c>
      <c r="D98" s="17" t="s">
        <v>500</v>
      </c>
      <c r="E98" s="17" t="s">
        <v>501</v>
      </c>
      <c r="F98" s="17" t="s">
        <v>502</v>
      </c>
      <c r="G98" s="17" t="s">
        <v>503</v>
      </c>
      <c r="H98" s="17" t="s">
        <v>504</v>
      </c>
    </row>
    <row r="99" spans="1:8" ht="67.95" customHeight="1">
      <c r="A99" s="16" t="s">
        <v>492</v>
      </c>
      <c r="B99" s="18" t="s">
        <v>11</v>
      </c>
      <c r="C99" s="18" t="s">
        <v>505</v>
      </c>
      <c r="D99" s="16" t="s">
        <v>506</v>
      </c>
      <c r="E99" s="16" t="s">
        <v>507</v>
      </c>
      <c r="F99" s="16" t="s">
        <v>508</v>
      </c>
      <c r="G99" s="16" t="s">
        <v>509</v>
      </c>
      <c r="H99" s="16" t="s">
        <v>510</v>
      </c>
    </row>
    <row r="100" spans="1:8" ht="67.95" customHeight="1">
      <c r="A100" s="17" t="s">
        <v>492</v>
      </c>
      <c r="B100" s="19" t="s">
        <v>11</v>
      </c>
      <c r="C100" s="19" t="s">
        <v>511</v>
      </c>
      <c r="D100" s="17" t="s">
        <v>512</v>
      </c>
      <c r="E100" s="17" t="s">
        <v>513</v>
      </c>
      <c r="F100" s="17" t="s">
        <v>514</v>
      </c>
      <c r="G100" s="17" t="s">
        <v>515</v>
      </c>
      <c r="H100" s="17" t="s">
        <v>516</v>
      </c>
    </row>
    <row r="101" spans="1:8" ht="67.95" customHeight="1">
      <c r="A101" s="17" t="s">
        <v>517</v>
      </c>
      <c r="B101" s="19" t="s">
        <v>12</v>
      </c>
      <c r="C101" s="19" t="s">
        <v>518</v>
      </c>
      <c r="D101" s="17" t="s">
        <v>519</v>
      </c>
      <c r="E101" s="17" t="s">
        <v>520</v>
      </c>
      <c r="F101" s="17" t="s">
        <v>521</v>
      </c>
      <c r="G101" s="17" t="s">
        <v>522</v>
      </c>
      <c r="H101" s="17" t="s">
        <v>523</v>
      </c>
    </row>
    <row r="102" spans="1:8" ht="67.95" customHeight="1">
      <c r="A102" s="16" t="s">
        <v>517</v>
      </c>
      <c r="B102" s="18" t="s">
        <v>12</v>
      </c>
      <c r="C102" s="18" t="s">
        <v>524</v>
      </c>
      <c r="D102" s="16" t="s">
        <v>525</v>
      </c>
      <c r="E102" s="16" t="s">
        <v>526</v>
      </c>
      <c r="F102" s="16" t="s">
        <v>527</v>
      </c>
      <c r="G102" s="16" t="s">
        <v>528</v>
      </c>
      <c r="H102" s="16" t="s">
        <v>529</v>
      </c>
    </row>
    <row r="103" spans="1:8" ht="67.95" customHeight="1">
      <c r="A103" s="16" t="s">
        <v>517</v>
      </c>
      <c r="B103" s="18" t="s">
        <v>12</v>
      </c>
      <c r="C103" s="18" t="s">
        <v>530</v>
      </c>
      <c r="D103" s="16" t="s">
        <v>531</v>
      </c>
      <c r="E103" s="16" t="s">
        <v>532</v>
      </c>
      <c r="F103" s="16" t="s">
        <v>533</v>
      </c>
      <c r="G103" s="16" t="s">
        <v>534</v>
      </c>
      <c r="H103" s="16" t="s">
        <v>535</v>
      </c>
    </row>
  </sheetData>
  <mergeCells count="2">
    <mergeCell ref="A1:H1"/>
    <mergeCell ref="A2:H2"/>
  </mergeCells>
  <conditionalFormatting sqref="B4:B87">
    <cfRule type="containsText" dxfId="5" priority="1" operator="containsText" text="P0"/>
    <cfRule type="containsText" dxfId="4" priority="2" operator="containsText" text="P1"/>
    <cfRule type="containsText" dxfId="3" priority="3" operator="containsText" text="P2"/>
  </conditionalFormatting>
  <conditionalFormatting sqref="B88:B103">
    <cfRule type="containsText" dxfId="2" priority="4" operator="containsText" text="P0"/>
    <cfRule type="containsText" dxfId="1" priority="5" operator="containsText" text="P1"/>
    <cfRule type="containsText" dxfId="0" priority="6" operator="containsText" text="P2"/>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showGridLines="0" workbookViewId="0">
      <selection activeCell="H7" sqref="H7"/>
    </sheetView>
  </sheetViews>
  <sheetFormatPr defaultRowHeight="13.8"/>
  <cols>
    <col min="1" max="1" width="14" customWidth="1"/>
    <col min="2" max="2" width="23" customWidth="1"/>
    <col min="3" max="3" width="18" customWidth="1"/>
    <col min="4" max="6" width="12" customWidth="1"/>
    <col min="7" max="8" width="18" customWidth="1"/>
    <col min="9" max="9" width="20" customWidth="1"/>
  </cols>
  <sheetData>
    <row r="1" spans="1:9" ht="34.049999999999997" customHeight="1">
      <c r="A1" s="6" t="s">
        <v>536</v>
      </c>
      <c r="B1" s="7" t="s">
        <v>537</v>
      </c>
      <c r="C1" s="7" t="s">
        <v>538</v>
      </c>
      <c r="D1" s="7" t="s">
        <v>539</v>
      </c>
      <c r="E1" s="7" t="s">
        <v>540</v>
      </c>
      <c r="F1" s="7" t="s">
        <v>541</v>
      </c>
      <c r="G1" s="7" t="s">
        <v>542</v>
      </c>
      <c r="H1" s="23" t="s">
        <v>557</v>
      </c>
      <c r="I1" s="29" t="s">
        <v>556</v>
      </c>
    </row>
    <row r="2" spans="1:9" ht="30" customHeight="1">
      <c r="A2" s="10" t="s">
        <v>543</v>
      </c>
      <c r="B2" s="8" t="s">
        <v>544</v>
      </c>
      <c r="C2" s="10" t="s">
        <v>545</v>
      </c>
      <c r="D2" s="12">
        <v>10</v>
      </c>
      <c r="E2" s="12">
        <v>10</v>
      </c>
      <c r="F2" s="12">
        <v>2</v>
      </c>
      <c r="G2" s="12">
        <f>(D2*E2)*F2</f>
        <v>200</v>
      </c>
      <c r="H2" s="30"/>
      <c r="I2" s="24">
        <v>0.8</v>
      </c>
    </row>
    <row r="3" spans="1:9" ht="30" customHeight="1">
      <c r="A3" s="11" t="s">
        <v>546</v>
      </c>
      <c r="B3" s="9" t="s">
        <v>547</v>
      </c>
      <c r="C3" s="11" t="s">
        <v>545</v>
      </c>
      <c r="D3" s="13">
        <v>10</v>
      </c>
      <c r="E3" s="13">
        <v>10</v>
      </c>
      <c r="F3" s="13">
        <v>2</v>
      </c>
      <c r="G3" s="13">
        <f>(D3*E3)*F3</f>
        <v>200</v>
      </c>
      <c r="H3" s="27"/>
      <c r="I3" s="25">
        <v>0.8</v>
      </c>
    </row>
    <row r="4" spans="1:9" ht="30" customHeight="1">
      <c r="A4" s="10" t="s">
        <v>548</v>
      </c>
      <c r="B4" s="8" t="s">
        <v>549</v>
      </c>
      <c r="C4" s="10" t="s">
        <v>545</v>
      </c>
      <c r="D4" s="12">
        <v>10</v>
      </c>
      <c r="E4" s="12">
        <v>10</v>
      </c>
      <c r="F4" s="12">
        <v>2</v>
      </c>
      <c r="G4" s="12">
        <f t="shared" ref="G4:G7" si="0">(D4*E4)*F4</f>
        <v>200</v>
      </c>
      <c r="H4" s="26"/>
      <c r="I4" s="24">
        <v>0.8</v>
      </c>
    </row>
    <row r="5" spans="1:9" ht="30" customHeight="1">
      <c r="A5" s="11" t="s">
        <v>550</v>
      </c>
      <c r="B5" s="9" t="s">
        <v>551</v>
      </c>
      <c r="C5" s="11" t="s">
        <v>545</v>
      </c>
      <c r="D5" s="13">
        <v>10</v>
      </c>
      <c r="E5" s="13">
        <v>10</v>
      </c>
      <c r="F5" s="13">
        <v>2</v>
      </c>
      <c r="G5" s="13">
        <f t="shared" si="0"/>
        <v>200</v>
      </c>
      <c r="H5" s="27"/>
      <c r="I5" s="25">
        <v>0.8</v>
      </c>
    </row>
    <row r="6" spans="1:9" ht="30" customHeight="1">
      <c r="A6" s="10" t="s">
        <v>552</v>
      </c>
      <c r="B6" s="8" t="s">
        <v>551</v>
      </c>
      <c r="C6" s="10" t="s">
        <v>553</v>
      </c>
      <c r="D6" s="12">
        <v>10</v>
      </c>
      <c r="E6" s="12">
        <v>10</v>
      </c>
      <c r="F6" s="12">
        <v>2</v>
      </c>
      <c r="G6" s="12">
        <f t="shared" si="0"/>
        <v>200</v>
      </c>
      <c r="H6" s="26"/>
      <c r="I6" s="24">
        <v>0.8</v>
      </c>
    </row>
    <row r="7" spans="1:9" ht="30" customHeight="1">
      <c r="A7" s="11" t="s">
        <v>554</v>
      </c>
      <c r="B7" s="9" t="s">
        <v>551</v>
      </c>
      <c r="C7" s="11" t="s">
        <v>545</v>
      </c>
      <c r="D7" s="13">
        <v>10</v>
      </c>
      <c r="E7" s="13">
        <v>10</v>
      </c>
      <c r="F7" s="13">
        <v>2</v>
      </c>
      <c r="G7" s="13">
        <f t="shared" si="0"/>
        <v>200</v>
      </c>
      <c r="H7" s="27"/>
      <c r="I7" s="25">
        <v>0.8</v>
      </c>
    </row>
    <row r="8" spans="1:9" ht="31.95" customHeight="1">
      <c r="A8" s="22" t="s">
        <v>555</v>
      </c>
      <c r="B8" s="22"/>
      <c r="C8" s="22"/>
      <c r="D8" s="14">
        <f>SUM(D2:D7)</f>
        <v>60</v>
      </c>
      <c r="E8" s="14">
        <f>D8*10</f>
        <v>600</v>
      </c>
      <c r="F8" s="15">
        <f>E8*2</f>
        <v>1200</v>
      </c>
      <c r="G8" s="15">
        <f>SUM(G2:G7)</f>
        <v>1200</v>
      </c>
      <c r="H8" s="28"/>
      <c r="I8" s="25">
        <v>0.8</v>
      </c>
    </row>
  </sheetData>
  <mergeCells count="1">
    <mergeCell ref="A8: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vt:lpstr>
      <vt:lpstr>Voice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2026-08-17T13:16:20Z</dcterms:modified>
</cp:coreProperties>
</file>