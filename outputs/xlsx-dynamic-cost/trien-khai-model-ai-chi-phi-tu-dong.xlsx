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ode\HuaMei\App_noi\be\9_10th8\speaking-ai-nextjs-backend\outputs\xlsx-dynamic-cost\"/>
    </mc:Choice>
  </mc:AlternateContent>
  <xr:revisionPtr revIDLastSave="0" documentId="13_ncr:1_{4581F07D-138E-4318-88CF-91FD1F34ECBF}" xr6:coauthVersionLast="47" xr6:coauthVersionMax="47" xr10:uidLastSave="{00000000-0000-0000-0000-000000000000}"/>
  <bookViews>
    <workbookView xWindow="-108" yWindow="-108" windowWidth="23256" windowHeight="12576" activeTab="1" xr2:uid="{00000000-000D-0000-FFFF-FFFF00000000}"/>
  </bookViews>
  <sheets>
    <sheet name="Cấu hình" sheetId="3" r:id="rId1"/>
    <sheet name="Trang tính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E7" i="2" s="1"/>
  <c r="A2" i="2"/>
  <c r="A105" i="2"/>
  <c r="A104" i="2"/>
  <c r="A103" i="2"/>
  <c r="A102" i="2"/>
  <c r="D62" i="2"/>
  <c r="C62" i="2"/>
  <c r="B62" i="2"/>
  <c r="D61" i="2"/>
  <c r="C61" i="2"/>
  <c r="B61" i="2"/>
  <c r="D60" i="2"/>
  <c r="C60" i="2"/>
  <c r="B60" i="2"/>
  <c r="D59" i="2"/>
  <c r="C59" i="2"/>
  <c r="B59" i="2"/>
  <c r="D58" i="2"/>
  <c r="C58" i="2"/>
  <c r="B58" i="2"/>
  <c r="D57" i="2"/>
  <c r="C57" i="2"/>
  <c r="B57" i="2"/>
  <c r="D56" i="2"/>
  <c r="C56" i="2"/>
  <c r="B56" i="2"/>
  <c r="A53" i="2"/>
  <c r="A52" i="2"/>
  <c r="A51" i="2"/>
  <c r="A50" i="2"/>
  <c r="D41" i="2"/>
  <c r="C41" i="2"/>
  <c r="B41" i="2"/>
  <c r="C40" i="2"/>
  <c r="D40" i="2" s="1"/>
  <c r="B40" i="2"/>
  <c r="C39" i="2"/>
  <c r="D39" i="2" s="1"/>
  <c r="B39" i="2"/>
  <c r="C38" i="2"/>
  <c r="D38" i="2" s="1"/>
  <c r="B38" i="2"/>
  <c r="C37" i="2"/>
  <c r="D37" i="2" s="1"/>
  <c r="B37" i="2"/>
  <c r="C36" i="2"/>
  <c r="D36" i="2" s="1"/>
  <c r="B36" i="2"/>
  <c r="C35" i="2"/>
  <c r="D35" i="2" s="1"/>
  <c r="B35" i="2"/>
  <c r="A32" i="2"/>
  <c r="A31" i="2"/>
  <c r="A30" i="2"/>
  <c r="A29" i="2"/>
  <c r="A28" i="2"/>
  <c r="A27" i="2"/>
  <c r="A26" i="2"/>
  <c r="A25" i="2"/>
  <c r="C19" i="2"/>
  <c r="E19" i="2" s="1"/>
  <c r="C18" i="2"/>
  <c r="E18" i="2" s="1"/>
  <c r="C17" i="2"/>
  <c r="E17" i="2" s="1"/>
  <c r="E16" i="2"/>
  <c r="D16" i="2"/>
  <c r="C16" i="2"/>
  <c r="D15" i="2"/>
  <c r="C15" i="2"/>
  <c r="E15" i="2" s="1"/>
  <c r="C14" i="2"/>
  <c r="E14" i="2" s="1"/>
  <c r="C13" i="2"/>
  <c r="E13" i="2" s="1"/>
  <c r="D12" i="2"/>
  <c r="E12" i="2" s="1"/>
  <c r="C12" i="2"/>
  <c r="D11" i="2"/>
  <c r="E11" i="2" s="1"/>
  <c r="C11" i="2"/>
  <c r="D10" i="2"/>
  <c r="E10" i="2" s="1"/>
  <c r="C10" i="2"/>
  <c r="D9" i="2"/>
  <c r="E9" i="2" s="1"/>
  <c r="C9" i="2"/>
  <c r="D8" i="2"/>
  <c r="E8" i="2" s="1"/>
  <c r="C8" i="2"/>
  <c r="C7" i="2"/>
  <c r="D6" i="2"/>
  <c r="E6" i="2" s="1"/>
  <c r="C6" i="2"/>
  <c r="D17" i="2" l="1"/>
  <c r="D13" i="2"/>
  <c r="D19" i="2"/>
  <c r="D14" i="2"/>
  <c r="D18" i="2"/>
</calcChain>
</file>

<file path=xl/sharedStrings.xml><?xml version="1.0" encoding="utf-8"?>
<sst xmlns="http://schemas.openxmlformats.org/spreadsheetml/2006/main" count="82" uniqueCount="76">
  <si>
    <t>Triển khai Model AI Cloudflare hay Vertex AI?
 部署 AI 模型：选择 Cloudflare 还是 Vertex AI？</t>
  </si>
  <si>
    <t>不同用户规模的成本</t>
  </si>
  <si>
    <t>Giải pháp
 方案</t>
  </si>
  <si>
    <t>User
 用户数</t>
  </si>
  <si>
    <t>Phút/tháng
 分钟/月</t>
  </si>
  <si>
    <t>Tổng USD
 合计（美元）</t>
  </si>
  <si>
    <t>Quy đổi VND
 折合越南盾</t>
  </si>
  <si>
    <t>Cloudflare Workers AI
 Cloudflare Workers AI 方案</t>
  </si>
  <si>
    <t>Vertex AI
 Vertex AI 方案</t>
  </si>
  <si>
    <t>1. Cloudflare Workers AI</t>
  </si>
  <si>
    <t>ĐƠN GIÁ:</t>
  </si>
  <si>
    <t>计价说明：</t>
  </si>
  <si>
    <t>2. Vertex AI custom endpoint</t>
  </si>
  <si>
    <t>2. Vertex AI 自定义端点</t>
  </si>
  <si>
    <t>ĐƠN GIÁ THAM CHIẾU:</t>
  </si>
  <si>
    <t>参考单价：</t>
  </si>
  <si>
    <t>GPU: NVIDIA Tesla T4/replica</t>
  </si>
  <si>
    <t>Audio giờ/tháng
 音频小时/月</t>
  </si>
  <si>
    <t>Số lượng replica(số lượng replica)
副本数量（副本数量）</t>
  </si>
  <si>
    <t>Chi phí chạy 24/7
24/7 全天候运行的成本</t>
  </si>
  <si>
    <t>- Audio giờ/tháng: tổng thời lượng audio đầu vào được cộng dồn trong một tháng, không phải GPU chắc chắn phải chạy đúng 5 giờ.</t>
  </si>
  <si>
    <t>音频小时/月：一个月内累计的输入音频总时长，并不表示 GPU 一定要运行整整 5 小时。</t>
  </si>
  <si>
    <t>- 1 replica(1 máy chủ): là server luôn được bật và model Whisper đã được nạp sẵn vào GPU.</t>
  </si>
  <si>
    <t>1 个副本（1 台服务器）：服务器始终开启，Whisper 模型已预先加载到 GPU。</t>
  </si>
  <si>
    <t>- 2 replica HA(2 máy chủ): hệ thống sẽ sử dụng 2 máy chủ để hoạt động:</t>
  </si>
  <si>
    <t>2 个高可用副本（2 台服务器）：系统将同时使用 2 台服务器运行：</t>
  </si>
  <si>
    <t>1 máy vẫn phục vụ nếu máy còn lại gặp sự cố.</t>
  </si>
  <si>
    <t>如果一台服务器发生故障，另一台仍可继续提供服务。</t>
  </si>
  <si>
    <t>Chia tải khi nhiều người gửi audio đồng thời.</t>
  </si>
  <si>
    <t>当多位用户同时发送音频时分担负载。</t>
  </si>
  <si>
    <t>Triển khai thử nghiệm trong một tuần</t>
  </si>
  <si>
    <t>进行为期一周的试部署</t>
  </si>
  <si>
    <t>1. Deploy model lên endpoint.</t>
  </si>
  <si>
    <t>将模型部署到端点。</t>
  </si>
  <si>
    <t>2. Chạy 1 replica liên tục trong 7 ngày.</t>
  </si>
  <si>
    <t>使用 1 个副本连续运行 7 天。</t>
  </si>
  <si>
    <t>3. Hết tuần, undeploy model để giải phóng tài nguyên và dừng phát sinh chi phí.</t>
  </si>
  <si>
    <t>一周结束后，取消部署模型，以释放资源并停止计费。</t>
  </si>
  <si>
    <t>4. Khi cần sử dụng lại, deploy model lên endpoint một lần nữa.</t>
  </si>
  <si>
    <t>需要再次使用时，重新将模型部署到端点。</t>
  </si>
  <si>
    <t>Chi phí</t>
  </si>
  <si>
    <t>费用</t>
  </si>
  <si>
    <t>Kết luận:</t>
  </si>
  <si>
    <t>总结：</t>
  </si>
  <si>
    <t>Hiện tại, nên sử dụng Cloudflare. Thu thập thêm dữ liệu giọng nói của trẻ em và lưu trữ vào file Word để bổ sung vào tập dữ liệu nhận diện giọng nói trẻ em, từ đó nâng cao độ chính xác của hệ thống.</t>
  </si>
  <si>
    <t>目前应使用Cloudflare。需要收集更多儿童语音数据并将其存储在Word文件中，以补充儿童语音识别数据集，从而提高系统的准确率。</t>
  </si>
  <si>
    <t>Ngoài ra, tập dữ liệu này có thể được sử dụng làm nguồn dữ liệu để huấn luyện và cải thiện mô hình AI trong tương lai.</t>
  </si>
  <si>
    <t>此外，该数据集未来可作为训练和改进人工智能模型的数据源。</t>
  </si>
  <si>
    <t>CẤU HÌNH TÍNH CHI PHÍ / 成本计算设置</t>
  </si>
  <si>
    <t>Phút/ngày/người dùng / 每位用户每天分钟数</t>
  </si>
  <si>
    <t>Ô nhập chính / 主要输入</t>
  </si>
  <si>
    <t>Số ngày/tháng / 每月天数</t>
  </si>
  <si>
    <t>Giả định thời gian / 时间假设</t>
  </si>
  <si>
    <t>Tỷ giá VND/USD / 越南盾/美元汇率</t>
  </si>
  <si>
    <t>Dùng để quy đổi VND / 用于换算越南盾</t>
  </si>
  <si>
    <t>CLOUDFLARE WORKERS AI — GIẢ ĐỊNH / 假设</t>
  </si>
  <si>
    <t>Neurons/phút audio / 每分钟音频 Neurons</t>
  </si>
  <si>
    <t>Theo số liệu đang dùng trong báo cáo gốc / 沿用原报告参数</t>
  </si>
  <si>
    <t>Quota miễn phí/ngày / 每日免费额度</t>
  </si>
  <si>
    <t>Neurons/ngày / Neurons/天</t>
  </si>
  <si>
    <t>Workers Paid tối thiểu/tháng / 最低月费</t>
  </si>
  <si>
    <t>USD; chỉ cộng khi vượt quota ngày / 超过每日额度时计入</t>
  </si>
  <si>
    <t>Phí vượt quota / 超额费用</t>
  </si>
  <si>
    <t>USD/1.000 Neurons</t>
  </si>
  <si>
    <t>VERTEX AI CUSTOM ENDPOINT — GIẢ ĐỊNH / 假设</t>
  </si>
  <si>
    <t>Chi phí/giờ/replica / 每小时每副本成本</t>
  </si>
  <si>
    <t>USD/giờ / 美元/小时</t>
  </si>
  <si>
    <t>Số giờ chạy/tháng / 每月运行小时</t>
  </si>
  <si>
    <t>Replica warm chạy 24/7 / 热副本全天候运行</t>
  </si>
  <si>
    <t>Công suất lạc quan / 乐观容量</t>
  </si>
  <si>
    <t>Giờ audio/tháng/replica / 音频小时/月/副本</t>
  </si>
  <si>
    <t>Công suất thận trọng / 保守容量</t>
  </si>
  <si>
    <t>Cách dùng / 使用方法</t>
  </si>
  <si>
    <t>Ví dụ: đổi B3 từ 10 thành 12. Phút/tháng, giờ audio, chi phí USD và quy đổi VND sẽ cập nhật tự động.</t>
  </si>
  <si>
    <t>示例：将 B3 从 10 改为 12。每月分钟数、音频小时数、美元成本和越南盾换算都会自动更新。</t>
  </si>
  <si>
    <r>
      <rPr>
        <b/>
        <sz val="10"/>
        <color rgb="FF000000"/>
        <rFont val="'Microsoft Yahei'"/>
      </rPr>
      <t>KẾT LUẬN:
 结论：</t>
    </r>
    <r>
      <rPr>
        <sz val="10"/>
        <color rgb="FF000000"/>
        <rFont val="'Microsoft Yahei'"/>
      </rPr>
      <t xml:space="preserve">
Từ 1 đến 1.000 user, Cloudflare là lựa chọn mặc định: rẻ hơn, triển khai nhanh và không phải vận hành GPU.
 在 1 至 1,000 名用户的范围内，默认推荐 Cloudflare：成本更低、部署更快，并且无需运维 GPU。
Chỉ chuyển sang Vertex AI khi model tùy biến tạo ra lợi ích chất lượng rõ rệt, có yêu cầu IAM/VPC của GCP, hoặc benchmark thực tế chứng minh tổng chi phí thấp hơn.
 只有在自定义模型能够显著提升质量、必须使用 GCP 的 IAM/VPC，或实际基准测试证明总成本更低时，才切换到 Vertex AI。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</si>
</sst>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0"/>
    <numFmt numFmtId="166" formatCode="\$0.000"/>
    <numFmt numFmtId="167" formatCode="#,##0\ &quot;đ&quot;"/>
    <numFmt numFmtId="168" formatCode="#,##0.0"/>
  </numFmts>
  <fonts count="31">
    <font>
      <sz val="10"/>
      <color rgb="FF000000"/>
      <name val="Arial"/>
    </font>
    <font>
      <sz val="16"/>
      <color rgb="FFFFFFFF"/>
      <name val="Arial"/>
    </font>
    <font>
      <sz val="10"/>
      <color theme="1"/>
      <name val="Arial"/>
    </font>
    <font>
      <sz val="10"/>
      <color rgb="FF000000"/>
      <name val="'Microsoft Yahei'"/>
    </font>
    <font>
      <b/>
      <sz val="11"/>
      <color rgb="FF000000"/>
      <name val="'Microsoft Yahei'"/>
    </font>
    <font>
      <b/>
      <sz val="8"/>
      <color rgb="FF17365D"/>
      <name val="Arial"/>
    </font>
    <font>
      <b/>
      <sz val="8"/>
      <color rgb="FF276749"/>
      <name val="Arial"/>
    </font>
    <font>
      <sz val="8"/>
      <color rgb="FF000000"/>
      <name val="Arial"/>
    </font>
    <font>
      <b/>
      <sz val="8"/>
      <color rgb="FF7A5A00"/>
      <name val="Arial"/>
    </font>
    <font>
      <b/>
      <sz val="11"/>
      <color rgb="FF000000"/>
      <name val="Arial"/>
    </font>
    <font>
      <b/>
      <sz val="11"/>
      <color rgb="FF2E74B5"/>
      <name val="Arial"/>
    </font>
    <font>
      <b/>
      <sz val="9"/>
      <color rgb="FF2E74B5"/>
      <name val="'Microsoft Yahei'"/>
    </font>
    <font>
      <sz val="11"/>
      <color rgb="FF000000"/>
      <name val="Arial"/>
    </font>
    <font>
      <sz val="9"/>
      <color rgb="FF667085"/>
      <name val="'Microsoft Yahei'"/>
    </font>
    <font>
      <sz val="9"/>
      <color rgb="FF000000"/>
      <name val="Arial"/>
    </font>
    <font>
      <b/>
      <sz val="23"/>
      <color rgb="FF000000"/>
      <name val="Arial"/>
    </font>
    <font>
      <b/>
      <sz val="8"/>
      <color rgb="FF1F497D"/>
      <name val="Arial"/>
    </font>
    <font>
      <sz val="10"/>
      <color rgb="FF000000"/>
      <name val="Arial"/>
    </font>
    <font>
      <sz val="8"/>
      <color rgb="FF000000"/>
      <name val="'Microsoft Yahei'"/>
    </font>
    <font>
      <b/>
      <sz val="10"/>
      <color rgb="FF000000"/>
      <name val="Arial"/>
    </font>
    <font>
      <sz val="10"/>
      <color rgb="FF000000"/>
      <name val="'Microsoft Yahei'"/>
    </font>
    <font>
      <b/>
      <sz val="11"/>
      <color rgb="FF1F497D"/>
      <name val="'Times New Roman'"/>
    </font>
    <font>
      <b/>
      <sz val="11"/>
      <color rgb="FF1F497D"/>
      <name val="'MS Mincho'"/>
    </font>
    <font>
      <sz val="11"/>
      <color rgb="FF000000"/>
      <name val="'Times New Roman'"/>
    </font>
    <font>
      <sz val="11"/>
      <color rgb="FF000000"/>
      <name val="SimSun"/>
    </font>
    <font>
      <sz val="11"/>
      <color rgb="FF000000"/>
      <name val="'Microsoft Yahei'"/>
    </font>
    <font>
      <b/>
      <sz val="10"/>
      <color rgb="FFFFFFFF"/>
      <name val="Arial"/>
    </font>
    <font>
      <b/>
      <sz val="10"/>
      <color rgb="FF17365D"/>
      <name val="Arial"/>
    </font>
    <font>
      <b/>
      <sz val="10"/>
      <color rgb="FF9C6500"/>
      <name val="Arial"/>
    </font>
    <font>
      <b/>
      <sz val="10"/>
      <color rgb="FF000000"/>
      <name val="'Microsoft Yahei'"/>
    </font>
    <font>
      <sz val="10"/>
      <color rgb="FF000000"/>
      <name val="Arial"/>
      <family val="2"/>
    </font>
  </fonts>
  <fills count="9">
    <fill>
      <patternFill patternType="none"/>
    </fill>
    <fill>
      <patternFill patternType="gray125"/>
    </fill>
    <fill>
      <patternFill patternType="solid">
        <fgColor rgb="FF3C78D8"/>
      </patternFill>
    </fill>
    <fill>
      <patternFill patternType="solid">
        <fgColor rgb="FFD9EAD3"/>
      </patternFill>
    </fill>
    <fill>
      <patternFill patternType="solid">
        <fgColor rgb="FFF2F4F7"/>
      </patternFill>
    </fill>
    <fill>
      <patternFill patternType="solid">
        <fgColor rgb="FF3C78D8"/>
      </patternFill>
    </fill>
    <fill>
      <patternFill patternType="solid">
        <fgColor rgb="FFD9EAD3"/>
      </patternFill>
    </fill>
    <fill>
      <patternFill patternType="solid">
        <fgColor rgb="FFFFF2CC"/>
      </patternFill>
    </fill>
    <fill>
      <patternFill patternType="solid">
        <fgColor rgb="FFF3F8FC"/>
      </patternFill>
    </fill>
  </fills>
  <borders count="3">
    <border>
      <left/>
      <right/>
      <top/>
      <bottom/>
      <diagonal/>
    </border>
    <border>
      <left style="thin">
        <color rgb="FFC9D4E2"/>
      </left>
      <right style="thin">
        <color rgb="FFC9D4E2"/>
      </right>
      <top style="thin">
        <color rgb="FFC9D4E2"/>
      </top>
      <bottom style="thin">
        <color rgb="FFC9D4E2"/>
      </bottom>
      <diagonal/>
    </border>
    <border>
      <left style="medium">
        <color rgb="FFBF9000"/>
      </left>
      <right style="medium">
        <color rgb="FFBF9000"/>
      </right>
      <top style="medium">
        <color rgb="FFBF9000"/>
      </top>
      <bottom style="medium">
        <color rgb="FFBF9000"/>
      </bottom>
      <diagonal/>
    </border>
  </borders>
  <cellStyleXfs count="1">
    <xf numFmtId="0" fontId="0" fillId="0" borderId="0"/>
  </cellStyleXfs>
  <cellXfs count="64">
    <xf numFmtId="0" fontId="0" fillId="0" borderId="0" xfId="0"/>
    <xf numFmtId="0" fontId="2" fillId="0" borderId="0" xfId="0" applyFont="1"/>
    <xf numFmtId="0" fontId="4" fillId="0" borderId="0" xfId="0" applyFont="1"/>
    <xf numFmtId="0" fontId="5" fillId="0" borderId="0" xfId="0" applyFont="1" applyAlignment="1">
      <alignment horizontal="left" wrapText="1"/>
    </xf>
    <xf numFmtId="0" fontId="5" fillId="0" borderId="0" xfId="0" applyFont="1" applyAlignment="1">
      <alignment horizontal="center" wrapText="1"/>
    </xf>
    <xf numFmtId="0" fontId="7" fillId="0" borderId="0" xfId="0" applyFont="1" applyAlignment="1">
      <alignment horizontal="center" wrapText="1"/>
    </xf>
    <xf numFmtId="3" fontId="7" fillId="0" borderId="0" xfId="0" applyNumberFormat="1" applyFont="1" applyAlignment="1">
      <alignment horizontal="center" wrapText="1"/>
    </xf>
    <xf numFmtId="0" fontId="9" fillId="0" borderId="0" xfId="0" applyFont="1"/>
    <xf numFmtId="0" fontId="9" fillId="4" borderId="0" xfId="0" applyFont="1" applyFill="1"/>
    <xf numFmtId="0" fontId="10" fillId="0" borderId="0" xfId="0" applyFont="1"/>
    <xf numFmtId="0" fontId="11" fillId="0" borderId="0" xfId="0" applyFont="1"/>
    <xf numFmtId="0" fontId="12" fillId="0" borderId="0" xfId="0" applyFont="1"/>
    <xf numFmtId="0" fontId="13" fillId="0" borderId="0" xfId="0" applyFont="1"/>
    <xf numFmtId="0" fontId="13" fillId="0" borderId="0" xfId="0" applyFont="1" applyAlignment="1">
      <alignment horizontal="left"/>
    </xf>
    <xf numFmtId="0" fontId="14" fillId="0" borderId="0" xfId="0" applyFont="1" applyAlignment="1">
      <alignment horizontal="center" wrapText="1"/>
    </xf>
    <xf numFmtId="3" fontId="14" fillId="0" borderId="0" xfId="0" applyNumberFormat="1" applyFont="1" applyAlignment="1">
      <alignment horizontal="center" wrapText="1"/>
    </xf>
    <xf numFmtId="0" fontId="15" fillId="0" borderId="0" xfId="0" applyFont="1"/>
    <xf numFmtId="0" fontId="4" fillId="4" borderId="0" xfId="0" applyFont="1" applyFill="1"/>
    <xf numFmtId="0" fontId="16" fillId="0" borderId="0" xfId="0" applyFont="1" applyAlignment="1">
      <alignment horizontal="center" wrapText="1"/>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0" xfId="0" applyFont="1" applyAlignment="1">
      <alignment horizontal="left"/>
    </xf>
    <xf numFmtId="0" fontId="12" fillId="0" borderId="0" xfId="0" applyFont="1" applyAlignment="1">
      <alignment horizontal="left"/>
    </xf>
    <xf numFmtId="0" fontId="25" fillId="0" borderId="0" xfId="0" applyFont="1" applyAlignment="1">
      <alignment horizontal="left"/>
    </xf>
    <xf numFmtId="0" fontId="0" fillId="0" borderId="1" xfId="0" applyBorder="1" applyAlignment="1">
      <alignment vertical="center" wrapText="1"/>
    </xf>
    <xf numFmtId="0" fontId="0" fillId="0" borderId="0" xfId="0" applyAlignment="1">
      <alignment wrapText="1"/>
    </xf>
    <xf numFmtId="1" fontId="28" fillId="7" borderId="2"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0" xfId="0" applyFill="1" applyAlignment="1">
      <alignment horizontal="center" wrapText="1"/>
    </xf>
    <xf numFmtId="3" fontId="0" fillId="8" borderId="1" xfId="0" applyNumberFormat="1" applyFill="1" applyBorder="1" applyAlignment="1">
      <alignment horizontal="center" vertical="center" wrapText="1"/>
    </xf>
    <xf numFmtId="2" fontId="0" fillId="8" borderId="1" xfId="0" applyNumberFormat="1" applyFill="1" applyBorder="1" applyAlignment="1">
      <alignment horizontal="center" vertical="center" wrapText="1"/>
    </xf>
    <xf numFmtId="165" fontId="0" fillId="8" borderId="1" xfId="0" applyNumberFormat="1" applyFill="1" applyBorder="1" applyAlignment="1">
      <alignment horizontal="center" vertical="center" wrapText="1"/>
    </xf>
    <xf numFmtId="166" fontId="0" fillId="8" borderId="1" xfId="0" applyNumberFormat="1" applyFill="1" applyBorder="1" applyAlignment="1">
      <alignment horizontal="center" vertical="center" wrapText="1"/>
    </xf>
    <xf numFmtId="165" fontId="7" fillId="0" borderId="0" xfId="0" applyNumberFormat="1" applyFont="1" applyAlignment="1">
      <alignment horizontal="center" wrapText="1"/>
    </xf>
    <xf numFmtId="167" fontId="7" fillId="0" borderId="0" xfId="0" applyNumberFormat="1" applyFont="1" applyAlignment="1">
      <alignment horizontal="center" wrapText="1"/>
    </xf>
    <xf numFmtId="165" fontId="14" fillId="0" borderId="0" xfId="0" applyNumberFormat="1" applyFont="1" applyAlignment="1">
      <alignment horizontal="center" wrapText="1"/>
    </xf>
    <xf numFmtId="167" fontId="14" fillId="0" borderId="0" xfId="0" applyNumberFormat="1" applyFont="1" applyAlignment="1">
      <alignment horizontal="center" wrapText="1"/>
    </xf>
    <xf numFmtId="168" fontId="7" fillId="0" borderId="0" xfId="0" applyNumberFormat="1" applyFont="1" applyAlignment="1">
      <alignment horizontal="center" wrapText="1"/>
    </xf>
    <xf numFmtId="49" fontId="7" fillId="0" borderId="0" xfId="0" applyNumberFormat="1" applyFont="1" applyAlignment="1">
      <alignment horizontal="center" wrapText="1"/>
    </xf>
    <xf numFmtId="0" fontId="0" fillId="0" borderId="0" xfId="0"/>
    <xf numFmtId="0" fontId="6" fillId="0" borderId="0" xfId="0" applyFont="1" applyAlignment="1">
      <alignment horizontal="left" wrapText="1"/>
    </xf>
    <xf numFmtId="0" fontId="8" fillId="0" borderId="0" xfId="0" applyFont="1" applyAlignment="1">
      <alignment horizontal="left" wrapText="1"/>
    </xf>
    <xf numFmtId="0" fontId="1" fillId="2" borderId="0" xfId="0" applyFont="1" applyFill="1"/>
    <xf numFmtId="0" fontId="0" fillId="0" borderId="0" xfId="0" applyAlignment="1">
      <alignment wrapText="1"/>
    </xf>
    <xf numFmtId="0" fontId="4" fillId="0" borderId="0" xfId="0" applyFont="1"/>
    <xf numFmtId="0" fontId="26" fillId="5" borderId="0" xfId="0" applyFont="1" applyFill="1" applyAlignment="1">
      <alignment horizontal="center" vertical="center"/>
    </xf>
    <xf numFmtId="0" fontId="27" fillId="6" borderId="0" xfId="0" applyFont="1" applyFill="1" applyAlignment="1">
      <alignment horizontal="left" vertical="center" wrapText="1"/>
    </xf>
    <xf numFmtId="0" fontId="27" fillId="8" borderId="0" xfId="0" applyFont="1" applyFill="1" applyAlignment="1">
      <alignment horizontal="center" vertical="center" wrapText="1"/>
    </xf>
    <xf numFmtId="0" fontId="27" fillId="6" borderId="1" xfId="0" applyFont="1" applyFill="1" applyBorder="1" applyAlignment="1">
      <alignment horizontal="left" vertical="center" wrapText="1"/>
    </xf>
    <xf numFmtId="0" fontId="0" fillId="0" borderId="1" xfId="0" applyBorder="1" applyAlignment="1">
      <alignment vertical="center" wrapText="1"/>
    </xf>
    <xf numFmtId="0" fontId="3" fillId="3" borderId="0" xfId="0" applyFont="1" applyFill="1" applyAlignment="1">
      <alignment wrapText="1"/>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9" fillId="0" borderId="0" xfId="0" applyFont="1" applyAlignment="1">
      <alignment horizontal="left"/>
    </xf>
    <xf numFmtId="0" fontId="30" fillId="0" borderId="1" xfId="0" applyFont="1" applyBorder="1" applyAlignment="1">
      <alignment vertical="center" wrapText="1"/>
    </xf>
    <xf numFmtId="0" fontId="17" fillId="0" borderId="0" xfId="0" applyFont="1" applyAlignment="1"/>
    <xf numFmtId="0" fontId="3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showGridLines="0" workbookViewId="0">
      <selection activeCell="B3" sqref="B3"/>
    </sheetView>
  </sheetViews>
  <sheetFormatPr defaultRowHeight="13.2"/>
  <cols>
    <col min="1" max="1" width="54" customWidth="1"/>
    <col min="2" max="2" width="18" customWidth="1"/>
    <col min="3" max="3" width="55" customWidth="1"/>
  </cols>
  <sheetData>
    <row r="1" spans="1:3" ht="34.049999999999997" customHeight="1">
      <c r="A1" s="50" t="s">
        <v>48</v>
      </c>
      <c r="B1" s="50"/>
      <c r="C1" s="50"/>
    </row>
    <row r="2" spans="1:3" ht="24" customHeight="1">
      <c r="A2" s="29" t="s">
        <v>49</v>
      </c>
      <c r="B2" s="31">
        <v>10</v>
      </c>
      <c r="C2" s="29" t="s">
        <v>50</v>
      </c>
    </row>
    <row r="3" spans="1:3" ht="24" customHeight="1">
      <c r="A3" s="29" t="s">
        <v>51</v>
      </c>
      <c r="B3" s="32">
        <v>30</v>
      </c>
      <c r="C3" s="29" t="s">
        <v>52</v>
      </c>
    </row>
    <row r="4" spans="1:3" ht="24" customHeight="1">
      <c r="A4" s="29" t="s">
        <v>53</v>
      </c>
      <c r="B4" s="34">
        <v>26000</v>
      </c>
      <c r="C4" s="29" t="s">
        <v>54</v>
      </c>
    </row>
    <row r="5" spans="1:3" ht="24" customHeight="1">
      <c r="A5" s="30"/>
      <c r="B5" s="33"/>
      <c r="C5" s="30"/>
    </row>
    <row r="6" spans="1:3" ht="24" customHeight="1">
      <c r="A6" s="51" t="s">
        <v>55</v>
      </c>
      <c r="B6" s="52"/>
      <c r="C6" s="51"/>
    </row>
    <row r="7" spans="1:3" ht="24" customHeight="1">
      <c r="A7" s="29" t="s">
        <v>56</v>
      </c>
      <c r="B7" s="35">
        <v>46.63</v>
      </c>
      <c r="C7" s="29" t="s">
        <v>57</v>
      </c>
    </row>
    <row r="8" spans="1:3" ht="24" customHeight="1">
      <c r="A8" s="29" t="s">
        <v>58</v>
      </c>
      <c r="B8" s="34">
        <v>10000</v>
      </c>
      <c r="C8" s="29" t="s">
        <v>59</v>
      </c>
    </row>
    <row r="9" spans="1:3" ht="24" customHeight="1">
      <c r="A9" s="29" t="s">
        <v>60</v>
      </c>
      <c r="B9" s="36">
        <v>5</v>
      </c>
      <c r="C9" s="29" t="s">
        <v>61</v>
      </c>
    </row>
    <row r="10" spans="1:3" ht="24" customHeight="1">
      <c r="A10" s="29" t="s">
        <v>62</v>
      </c>
      <c r="B10" s="37">
        <v>1.0999999999999999E-2</v>
      </c>
      <c r="C10" s="29" t="s">
        <v>63</v>
      </c>
    </row>
    <row r="11" spans="1:3" ht="24" customHeight="1">
      <c r="A11" s="30"/>
      <c r="B11" s="33"/>
      <c r="C11" s="30"/>
    </row>
    <row r="12" spans="1:3" ht="24" customHeight="1">
      <c r="A12" s="51" t="s">
        <v>64</v>
      </c>
      <c r="B12" s="52"/>
      <c r="C12" s="51"/>
    </row>
    <row r="13" spans="1:3" ht="24" customHeight="1">
      <c r="A13" s="29" t="s">
        <v>65</v>
      </c>
      <c r="B13" s="37">
        <v>0.621</v>
      </c>
      <c r="C13" s="29" t="s">
        <v>66</v>
      </c>
    </row>
    <row r="14" spans="1:3" ht="24" customHeight="1">
      <c r="A14" s="29" t="s">
        <v>67</v>
      </c>
      <c r="B14" s="34">
        <v>730</v>
      </c>
      <c r="C14" s="29" t="s">
        <v>68</v>
      </c>
    </row>
    <row r="15" spans="1:3" ht="24" customHeight="1">
      <c r="A15" s="29" t="s">
        <v>69</v>
      </c>
      <c r="B15" s="34">
        <v>5000</v>
      </c>
      <c r="C15" s="29" t="s">
        <v>70</v>
      </c>
    </row>
    <row r="16" spans="1:3" ht="24" customHeight="1">
      <c r="A16" s="29" t="s">
        <v>71</v>
      </c>
      <c r="B16" s="34">
        <v>2500</v>
      </c>
      <c r="C16" s="29" t="s">
        <v>70</v>
      </c>
    </row>
    <row r="17" spans="1:3" ht="24" customHeight="1">
      <c r="A17" s="30"/>
      <c r="B17" s="30"/>
      <c r="C17" s="30"/>
    </row>
    <row r="18" spans="1:3" ht="28.05" customHeight="1">
      <c r="A18" s="53" t="s">
        <v>72</v>
      </c>
      <c r="B18" s="53"/>
      <c r="C18" s="53"/>
    </row>
    <row r="19" spans="1:3" ht="36" customHeight="1">
      <c r="A19" s="61" t="s">
        <v>73</v>
      </c>
      <c r="B19" s="54"/>
      <c r="C19" s="54"/>
    </row>
    <row r="20" spans="1:3" ht="36" customHeight="1">
      <c r="A20" s="54" t="s">
        <v>74</v>
      </c>
      <c r="B20" s="54"/>
      <c r="C20" s="54"/>
    </row>
  </sheetData>
  <mergeCells count="6">
    <mergeCell ref="A19:C19"/>
    <mergeCell ref="A20:C20"/>
    <mergeCell ref="A1:C1"/>
    <mergeCell ref="A6:C6"/>
    <mergeCell ref="A12:C12"/>
    <mergeCell ref="A18:C18"/>
  </mergeCells>
  <dataValidations count="1">
    <dataValidation type="whole" sqref="B2" xr:uid="{00000000-0002-0000-0200-000000000000}">
      <formula1>0</formula1>
      <formula2>1440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8"/>
  <sheetViews>
    <sheetView tabSelected="1" topLeftCell="A22" workbookViewId="0">
      <selection activeCell="D33" sqref="D33"/>
    </sheetView>
  </sheetViews>
  <sheetFormatPr defaultColWidth="12.6640625" defaultRowHeight="13.2"/>
  <cols>
    <col min="1" max="1" width="32.33203125" customWidth="1"/>
    <col min="3" max="3" width="27.5546875" customWidth="1"/>
    <col min="4" max="4" width="26" customWidth="1"/>
    <col min="5" max="5" width="23" customWidth="1"/>
  </cols>
  <sheetData>
    <row r="1" spans="1:5" ht="20.399999999999999">
      <c r="A1" s="47" t="s">
        <v>0</v>
      </c>
      <c r="B1" s="44"/>
      <c r="C1" s="44"/>
      <c r="D1" s="44"/>
      <c r="E1" s="44"/>
    </row>
    <row r="2" spans="1:5" ht="36.75" customHeight="1">
      <c r="A2" s="48" t="str">
        <f>"Chi phí khi mỗi người dùng nói và sử dụng trợ lí "&amp;'Cấu hình'!$B$2&amp;" phút mỗi ngày (đổi tại Cấu hình!B3)"&amp;CHAR(10)&amp;"每位用户每天使用助手 "&amp;'Cấu hình'!$B$2&amp;" 分钟的费用（在 Cấu hình!B3 修改）。"</f>
        <v>Chi phí khi mỗi người dùng nói và sử dụng trợ lí 10 phút mỗi ngày (đổi tại Cấu hình!B3)
每位用户每天使用助手 10 分钟的费用（在 Cấu hình!B3 修改）。</v>
      </c>
      <c r="B2" s="48"/>
      <c r="C2" s="48"/>
      <c r="D2" s="48"/>
      <c r="E2" s="48"/>
    </row>
    <row r="3" spans="1:5">
      <c r="A3" s="55" t="s">
        <v>75</v>
      </c>
      <c r="B3" s="44"/>
      <c r="C3" s="44"/>
      <c r="D3" s="44"/>
      <c r="E3" s="44"/>
    </row>
    <row r="4" spans="1:5" ht="85.8" customHeight="1">
      <c r="A4" s="49" t="s">
        <v>1</v>
      </c>
      <c r="B4" s="44"/>
      <c r="C4" s="44"/>
      <c r="D4" s="44"/>
      <c r="E4" s="44"/>
    </row>
    <row r="5" spans="1:5" ht="21">
      <c r="A5" s="3" t="s">
        <v>2</v>
      </c>
      <c r="B5" s="4" t="s">
        <v>3</v>
      </c>
      <c r="C5" s="4" t="s">
        <v>4</v>
      </c>
      <c r="D5" s="4" t="s">
        <v>5</v>
      </c>
      <c r="E5" s="4" t="s">
        <v>6</v>
      </c>
    </row>
    <row r="6" spans="1:5">
      <c r="A6" s="45" t="s">
        <v>7</v>
      </c>
      <c r="B6" s="5">
        <v>1</v>
      </c>
      <c r="C6" s="6">
        <f>B6*'Cấu hình'!$B$2*'Cấu hình'!$B$3</f>
        <v>300</v>
      </c>
      <c r="D6" s="38">
        <f>IF(B6*'Cấu hình'!$B$2*'Cấu hình'!$B$7&lt;='Cấu hình'!$B$8,0,'Cấu hình'!$B$9+(B6*'Cấu hình'!$B$2*'Cấu hình'!$B$7-'Cấu hình'!$B$8)*'Cấu hình'!$B$3*'Cấu hình'!$B$10/1000)</f>
        <v>0</v>
      </c>
      <c r="E6" s="39">
        <f>D6*'Cấu hình'!$B$4</f>
        <v>0</v>
      </c>
    </row>
    <row r="7" spans="1:5">
      <c r="A7" s="44"/>
      <c r="B7" s="5">
        <v>100</v>
      </c>
      <c r="C7" s="6">
        <f>B7*'Cấu hình'!$B$2*'Cấu hình'!$B$3</f>
        <v>30000</v>
      </c>
      <c r="D7" s="38">
        <f>IF(B7*'Cấu hình'!$B$2*'Cấu hình'!$B$7&lt;='Cấu hình'!$B$8,0,'Cấu hình'!$B$9+(B7*'Cấu hình'!$B$2*'Cấu hình'!$B$7-'Cấu hình'!$B$8)*'Cấu hình'!$B$3*'Cấu hình'!$B$10/1000)</f>
        <v>17.087899999999998</v>
      </c>
      <c r="E7" s="39">
        <f>D7*'Cấu hình'!$B$4</f>
        <v>444285.39999999997</v>
      </c>
    </row>
    <row r="8" spans="1:5">
      <c r="A8" s="44"/>
      <c r="B8" s="5">
        <v>500</v>
      </c>
      <c r="C8" s="6">
        <f>B8*'Cấu hình'!$B$2*'Cấu hình'!$B$3</f>
        <v>150000</v>
      </c>
      <c r="D8" s="38">
        <f>IF(B8*'Cấu hình'!$B$2*'Cấu hình'!$B$7&lt;='Cấu hình'!$B$8,0,'Cấu hình'!$B$9+(B8*'Cấu hình'!$B$2*'Cấu hình'!$B$7-'Cấu hình'!$B$8)*'Cấu hình'!$B$3*'Cấu hình'!$B$10/1000)</f>
        <v>78.639499999999998</v>
      </c>
      <c r="E8" s="39">
        <f>D8*'Cấu hình'!$B$4</f>
        <v>2044627</v>
      </c>
    </row>
    <row r="9" spans="1:5">
      <c r="A9" s="44"/>
      <c r="B9" s="6">
        <v>1000</v>
      </c>
      <c r="C9" s="6">
        <f>B9*'Cấu hình'!$B$2*'Cấu hình'!$B$3</f>
        <v>300000</v>
      </c>
      <c r="D9" s="38">
        <f>IF(B9*'Cấu hình'!$B$2*'Cấu hình'!$B$7&lt;='Cấu hình'!$B$8,0,'Cấu hình'!$B$9+(B9*'Cấu hình'!$B$2*'Cấu hình'!$B$7-'Cấu hình'!$B$8)*'Cấu hình'!$B$3*'Cấu hình'!$B$10/1000)</f>
        <v>155.57900000000001</v>
      </c>
      <c r="E9" s="39">
        <f>D9*'Cấu hình'!$B$4</f>
        <v>4045054</v>
      </c>
    </row>
    <row r="10" spans="1:5">
      <c r="A10" s="44"/>
      <c r="B10" s="6">
        <v>2000</v>
      </c>
      <c r="C10" s="6">
        <f>B10*'Cấu hình'!$B$2*'Cấu hình'!$B$3</f>
        <v>600000</v>
      </c>
      <c r="D10" s="38">
        <f>IF(B10*'Cấu hình'!$B$2*'Cấu hình'!$B$7&lt;='Cấu hình'!$B$8,0,'Cấu hình'!$B$9+(B10*'Cấu hình'!$B$2*'Cấu hình'!$B$7-'Cấu hình'!$B$8)*'Cấu hình'!$B$3*'Cấu hình'!$B$10/1000)</f>
        <v>309.45800000000003</v>
      </c>
      <c r="E10" s="39">
        <f>D10*'Cấu hình'!$B$4</f>
        <v>8045908.0000000009</v>
      </c>
    </row>
    <row r="11" spans="1:5">
      <c r="A11" s="44"/>
      <c r="B11" s="6">
        <v>3000</v>
      </c>
      <c r="C11" s="6">
        <f>B11*'Cấu hình'!$B$2*'Cấu hình'!$B$3</f>
        <v>900000</v>
      </c>
      <c r="D11" s="38">
        <f>IF(B11*'Cấu hình'!$B$2*'Cấu hình'!$B$7&lt;='Cấu hình'!$B$8,0,'Cấu hình'!$B$9+(B11*'Cấu hình'!$B$2*'Cấu hình'!$B$7-'Cấu hình'!$B$8)*'Cấu hình'!$B$3*'Cấu hình'!$B$10/1000)</f>
        <v>463.33699999999999</v>
      </c>
      <c r="E11" s="39">
        <f>D11*'Cấu hình'!$B$4</f>
        <v>12046762</v>
      </c>
    </row>
    <row r="12" spans="1:5">
      <c r="A12" s="44"/>
      <c r="B12" s="6">
        <v>5000</v>
      </c>
      <c r="C12" s="6">
        <f>B12*'Cấu hình'!$B$2*'Cấu hình'!$B$3</f>
        <v>1500000</v>
      </c>
      <c r="D12" s="38">
        <f>IF(B12*'Cấu hình'!$B$2*'Cấu hình'!$B$7&lt;='Cấu hình'!$B$8,0,'Cấu hình'!$B$9+(B12*'Cấu hình'!$B$2*'Cấu hình'!$B$7-'Cấu hình'!$B$8)*'Cấu hình'!$B$3*'Cấu hình'!$B$10/1000)</f>
        <v>771.09500000000003</v>
      </c>
      <c r="E12" s="39">
        <f>D12*'Cấu hình'!$B$4</f>
        <v>20048470</v>
      </c>
    </row>
    <row r="13" spans="1:5">
      <c r="A13" s="46" t="s">
        <v>8</v>
      </c>
      <c r="B13" s="5">
        <v>1</v>
      </c>
      <c r="C13" s="6">
        <f>B13*'Cấu hình'!$B$2*'Cấu hình'!$B$3</f>
        <v>300</v>
      </c>
      <c r="D13" s="5" t="str">
        <f>IF(MAX(1,ROUNDUP(C13/60/'Cấu hình'!$B$15,0))=MAX(1,ROUNDUP(C13/60/'Cấu hình'!$B$16,0)),TEXT(MAX(1,ROUNDUP(C13/60/'Cấu hình'!$B$15,0))*'Cấu hình'!$B$13*'Cấu hình'!$B$14,"$#,##0.00"),TEXT(MAX(1,ROUNDUP(C13/60/'Cấu hình'!$B$15,0))*'Cấu hình'!$B$13*'Cấu hình'!$B$14,"#,##0.00")&amp;"–"&amp;TEXT(MAX(1,ROUNDUP(C13/60/'Cấu hình'!$B$16,0))*'Cấu hình'!$B$13*'Cấu hình'!$B$14,"#,##0.00"))</f>
        <v>$453.33</v>
      </c>
      <c r="E13" s="5" t="str">
        <f>IF(MAX(1,ROUNDUP(C13/60/'Cấu hình'!$B$15,0))=MAX(1,ROUNDUP(C13/60/'Cấu hình'!$B$16,0)),TEXT(MAX(1,ROUNDUP(C13/60/'Cấu hình'!$B$15,0))*'Cấu hình'!$B$13*'Cấu hình'!$B$14*'Cấu hình'!$B$4/1000000,"0.00")&amp;" triệu",TEXT(MAX(1,ROUNDUP(C13/60/'Cấu hình'!$B$15,0))*'Cấu hình'!$B$13*'Cấu hình'!$B$14*'Cấu hình'!$B$4/1000000,"0.00")&amp;"–"&amp;TEXT(MAX(1,ROUNDUP(C13/60/'Cấu hình'!$B$16,0))*'Cấu hình'!$B$13*'Cấu hình'!$B$14*'Cấu hình'!$B$4/1000000,"0.00")&amp;" triệu")</f>
        <v>11.79 triệu</v>
      </c>
    </row>
    <row r="14" spans="1:5">
      <c r="A14" s="44"/>
      <c r="B14" s="5">
        <v>100</v>
      </c>
      <c r="C14" s="6">
        <f>B14*'Cấu hình'!$B$2*'Cấu hình'!$B$3</f>
        <v>30000</v>
      </c>
      <c r="D14" s="5" t="str">
        <f>IF(MAX(1,ROUNDUP(C14/60/'Cấu hình'!$B$15,0))=MAX(1,ROUNDUP(C14/60/'Cấu hình'!$B$16,0)),TEXT(MAX(1,ROUNDUP(C14/60/'Cấu hình'!$B$15,0))*'Cấu hình'!$B$13*'Cấu hình'!$B$14,"$#,##0.00"),TEXT(MAX(1,ROUNDUP(C14/60/'Cấu hình'!$B$15,0))*'Cấu hình'!$B$13*'Cấu hình'!$B$14,"#,##0.00")&amp;"–"&amp;TEXT(MAX(1,ROUNDUP(C14/60/'Cấu hình'!$B$16,0))*'Cấu hình'!$B$13*'Cấu hình'!$B$14,"#,##0.00"))</f>
        <v>$453.33</v>
      </c>
      <c r="E14" s="5" t="str">
        <f>IF(MAX(1,ROUNDUP(C14/60/'Cấu hình'!$B$15,0))=MAX(1,ROUNDUP(C14/60/'Cấu hình'!$B$16,0)),TEXT(MAX(1,ROUNDUP(C14/60/'Cấu hình'!$B$15,0))*'Cấu hình'!$B$13*'Cấu hình'!$B$14*'Cấu hình'!$B$4/1000000,"0.00")&amp;" triệu",TEXT(MAX(1,ROUNDUP(C14/60/'Cấu hình'!$B$15,0))*'Cấu hình'!$B$13*'Cấu hình'!$B$14*'Cấu hình'!$B$4/1000000,"0.00")&amp;"–"&amp;TEXT(MAX(1,ROUNDUP(C14/60/'Cấu hình'!$B$16,0))*'Cấu hình'!$B$13*'Cấu hình'!$B$14*'Cấu hình'!$B$4/1000000,"0.00")&amp;" triệu")</f>
        <v>11.79 triệu</v>
      </c>
    </row>
    <row r="15" spans="1:5">
      <c r="A15" s="44"/>
      <c r="B15" s="5">
        <v>500</v>
      </c>
      <c r="C15" s="6">
        <f>B15*'Cấu hình'!$B$2*'Cấu hình'!$B$3</f>
        <v>150000</v>
      </c>
      <c r="D15" s="5" t="str">
        <f>IF(MAX(1,ROUNDUP(C15/60/'Cấu hình'!$B$15,0))=MAX(1,ROUNDUP(C15/60/'Cấu hình'!$B$16,0)),TEXT(MAX(1,ROUNDUP(C15/60/'Cấu hình'!$B$15,0))*'Cấu hình'!$B$13*'Cấu hình'!$B$14,"$#,##0.00"),TEXT(MAX(1,ROUNDUP(C15/60/'Cấu hình'!$B$15,0))*'Cấu hình'!$B$13*'Cấu hình'!$B$14,"#,##0.00")&amp;"–"&amp;TEXT(MAX(1,ROUNDUP(C15/60/'Cấu hình'!$B$16,0))*'Cấu hình'!$B$13*'Cấu hình'!$B$14,"#,##0.00"))</f>
        <v>$453.33</v>
      </c>
      <c r="E15" s="5" t="str">
        <f>IF(MAX(1,ROUNDUP(C15/60/'Cấu hình'!$B$15,0))=MAX(1,ROUNDUP(C15/60/'Cấu hình'!$B$16,0)),TEXT(MAX(1,ROUNDUP(C15/60/'Cấu hình'!$B$15,0))*'Cấu hình'!$B$13*'Cấu hình'!$B$14*'Cấu hình'!$B$4/1000000,"0.00")&amp;" triệu",TEXT(MAX(1,ROUNDUP(C15/60/'Cấu hình'!$B$15,0))*'Cấu hình'!$B$13*'Cấu hình'!$B$14*'Cấu hình'!$B$4/1000000,"0.00")&amp;"–"&amp;TEXT(MAX(1,ROUNDUP(C15/60/'Cấu hình'!$B$16,0))*'Cấu hình'!$B$13*'Cấu hình'!$B$14*'Cấu hình'!$B$4/1000000,"0.00")&amp;" triệu")</f>
        <v>11.79 triệu</v>
      </c>
    </row>
    <row r="16" spans="1:5">
      <c r="A16" s="44"/>
      <c r="B16" s="6">
        <v>1000</v>
      </c>
      <c r="C16" s="6">
        <f>B16*'Cấu hình'!$B$2*'Cấu hình'!$B$3</f>
        <v>300000</v>
      </c>
      <c r="D16" s="5" t="str">
        <f>IF(MAX(1,ROUNDUP(C16/60/'Cấu hình'!$B$15,0))=MAX(1,ROUNDUP(C16/60/'Cấu hình'!$B$16,0)),TEXT(MAX(1,ROUNDUP(C16/60/'Cấu hình'!$B$15,0))*'Cấu hình'!$B$13*'Cấu hình'!$B$14,"$#,##0.00"),TEXT(MAX(1,ROUNDUP(C16/60/'Cấu hình'!$B$15,0))*'Cấu hình'!$B$13*'Cấu hình'!$B$14,"#,##0.00")&amp;"–"&amp;TEXT(MAX(1,ROUNDUP(C16/60/'Cấu hình'!$B$16,0))*'Cấu hình'!$B$13*'Cấu hình'!$B$14,"#,##0.00"))</f>
        <v>453.33–906.66</v>
      </c>
      <c r="E16" s="5" t="str">
        <f>IF(MAX(1,ROUNDUP(C16/60/'Cấu hình'!$B$15,0))=MAX(1,ROUNDUP(C16/60/'Cấu hình'!$B$16,0)),TEXT(MAX(1,ROUNDUP(C16/60/'Cấu hình'!$B$15,0))*'Cấu hình'!$B$13*'Cấu hình'!$B$14*'Cấu hình'!$B$4/1000000,"0.00")&amp;" triệu",TEXT(MAX(1,ROUNDUP(C16/60/'Cấu hình'!$B$15,0))*'Cấu hình'!$B$13*'Cấu hình'!$B$14*'Cấu hình'!$B$4/1000000,"0.00")&amp;"–"&amp;TEXT(MAX(1,ROUNDUP(C16/60/'Cấu hình'!$B$16,0))*'Cấu hình'!$B$13*'Cấu hình'!$B$14*'Cấu hình'!$B$4/1000000,"0.00")&amp;" triệu")</f>
        <v>11.79–23.57 triệu</v>
      </c>
    </row>
    <row r="17" spans="1:5">
      <c r="A17" s="44"/>
      <c r="B17" s="6">
        <v>2000</v>
      </c>
      <c r="C17" s="6">
        <f>B17*'Cấu hình'!$B$2*'Cấu hình'!$B$3</f>
        <v>600000</v>
      </c>
      <c r="D17" s="5" t="str">
        <f>IF(MAX(1,ROUNDUP(C17/60/'Cấu hình'!$B$15,0))=MAX(1,ROUNDUP(C17/60/'Cấu hình'!$B$16,0)),TEXT(MAX(1,ROUNDUP(C17/60/'Cấu hình'!$B$15,0))*'Cấu hình'!$B$13*'Cấu hình'!$B$14,"$#,##0.00"),TEXT(MAX(1,ROUNDUP(C17/60/'Cấu hình'!$B$15,0))*'Cấu hình'!$B$13*'Cấu hình'!$B$14,"#,##0.00")&amp;"–"&amp;TEXT(MAX(1,ROUNDUP(C17/60/'Cấu hình'!$B$16,0))*'Cấu hình'!$B$13*'Cấu hình'!$B$14,"#,##0.00"))</f>
        <v>906.66–1,813.32</v>
      </c>
      <c r="E17" s="5" t="str">
        <f>IF(MAX(1,ROUNDUP(C17/60/'Cấu hình'!$B$15,0))=MAX(1,ROUNDUP(C17/60/'Cấu hình'!$B$16,0)),TEXT(MAX(1,ROUNDUP(C17/60/'Cấu hình'!$B$15,0))*'Cấu hình'!$B$13*'Cấu hình'!$B$14*'Cấu hình'!$B$4/1000000,"0.00")&amp;" triệu",TEXT(MAX(1,ROUNDUP(C17/60/'Cấu hình'!$B$15,0))*'Cấu hình'!$B$13*'Cấu hình'!$B$14*'Cấu hình'!$B$4/1000000,"0.00")&amp;"–"&amp;TEXT(MAX(1,ROUNDUP(C17/60/'Cấu hình'!$B$16,0))*'Cấu hình'!$B$13*'Cấu hình'!$B$14*'Cấu hình'!$B$4/1000000,"0.00")&amp;" triệu")</f>
        <v>23.57–47.15 triệu</v>
      </c>
    </row>
    <row r="18" spans="1:5">
      <c r="A18" s="44"/>
      <c r="B18" s="6">
        <v>3000</v>
      </c>
      <c r="C18" s="6">
        <f>B18*'Cấu hình'!$B$2*'Cấu hình'!$B$3</f>
        <v>900000</v>
      </c>
      <c r="D18" s="5" t="str">
        <f>IF(MAX(1,ROUNDUP(C18/60/'Cấu hình'!$B$15,0))=MAX(1,ROUNDUP(C18/60/'Cấu hình'!$B$16,0)),TEXT(MAX(1,ROUNDUP(C18/60/'Cấu hình'!$B$15,0))*'Cấu hình'!$B$13*'Cấu hình'!$B$14,"$#,##0.00"),TEXT(MAX(1,ROUNDUP(C18/60/'Cấu hình'!$B$15,0))*'Cấu hình'!$B$13*'Cấu hình'!$B$14,"#,##0.00")&amp;"–"&amp;TEXT(MAX(1,ROUNDUP(C18/60/'Cấu hình'!$B$16,0))*'Cấu hình'!$B$13*'Cấu hình'!$B$14,"#,##0.00"))</f>
        <v>1,359.99–2,719.98</v>
      </c>
      <c r="E18" s="5" t="str">
        <f>IF(MAX(1,ROUNDUP(C18/60/'Cấu hình'!$B$15,0))=MAX(1,ROUNDUP(C18/60/'Cấu hình'!$B$16,0)),TEXT(MAX(1,ROUNDUP(C18/60/'Cấu hình'!$B$15,0))*'Cấu hình'!$B$13*'Cấu hình'!$B$14*'Cấu hình'!$B$4/1000000,"0.00")&amp;" triệu",TEXT(MAX(1,ROUNDUP(C18/60/'Cấu hình'!$B$15,0))*'Cấu hình'!$B$13*'Cấu hình'!$B$14*'Cấu hình'!$B$4/1000000,"0.00")&amp;"–"&amp;TEXT(MAX(1,ROUNDUP(C18/60/'Cấu hình'!$B$16,0))*'Cấu hình'!$B$13*'Cấu hình'!$B$14*'Cấu hình'!$B$4/1000000,"0.00")&amp;" triệu")</f>
        <v>35.36–70.72 triệu</v>
      </c>
    </row>
    <row r="19" spans="1:5">
      <c r="A19" s="44"/>
      <c r="B19" s="6">
        <v>5000</v>
      </c>
      <c r="C19" s="6">
        <f>B19*'Cấu hình'!$B$2*'Cấu hình'!$B$3</f>
        <v>1500000</v>
      </c>
      <c r="D19" s="5" t="str">
        <f>IF(MAX(1,ROUNDUP(C19/60/'Cấu hình'!$B$15,0))=MAX(1,ROUNDUP(C19/60/'Cấu hình'!$B$16,0)),TEXT(MAX(1,ROUNDUP(C19/60/'Cấu hình'!$B$15,0))*'Cấu hình'!$B$13*'Cấu hình'!$B$14,"$#,##0.00"),TEXT(MAX(1,ROUNDUP(C19/60/'Cấu hình'!$B$15,0))*'Cấu hình'!$B$13*'Cấu hình'!$B$14,"#,##0.00")&amp;"–"&amp;TEXT(MAX(1,ROUNDUP(C19/60/'Cấu hình'!$B$16,0))*'Cấu hình'!$B$13*'Cấu hình'!$B$14,"#,##0.00"))</f>
        <v>2,266.65–4,533.30</v>
      </c>
      <c r="E19" s="5" t="str">
        <f>IF(MAX(1,ROUNDUP(C19/60/'Cấu hình'!$B$15,0))=MAX(1,ROUNDUP(C19/60/'Cấu hình'!$B$16,0)),TEXT(MAX(1,ROUNDUP(C19/60/'Cấu hình'!$B$15,0))*'Cấu hình'!$B$13*'Cấu hình'!$B$14*'Cấu hình'!$B$4/1000000,"0.00")&amp;" triệu",TEXT(MAX(1,ROUNDUP(C19/60/'Cấu hình'!$B$15,0))*'Cấu hình'!$B$13*'Cấu hình'!$B$14*'Cấu hình'!$B$4/1000000,"0.00")&amp;"–"&amp;TEXT(MAX(1,ROUNDUP(C19/60/'Cấu hình'!$B$16,0))*'Cấu hình'!$B$13*'Cấu hình'!$B$14*'Cấu hình'!$B$4/1000000,"0.00")&amp;" triệu")</f>
        <v>58.93–117.87 triệu</v>
      </c>
    </row>
    <row r="20" spans="1:5">
      <c r="A20" s="1"/>
    </row>
    <row r="21" spans="1:5" ht="13.8">
      <c r="A21" s="7" t="s">
        <v>9</v>
      </c>
    </row>
    <row r="22" spans="1:5" ht="13.8">
      <c r="A22" s="8"/>
    </row>
    <row r="23" spans="1:5" ht="13.8">
      <c r="A23" s="56" t="s">
        <v>10</v>
      </c>
      <c r="B23" s="56"/>
      <c r="C23" s="56"/>
      <c r="D23" s="56"/>
      <c r="E23" s="56"/>
    </row>
    <row r="24" spans="1:5">
      <c r="A24" s="57" t="s">
        <v>11</v>
      </c>
      <c r="B24" s="57"/>
      <c r="C24" s="57"/>
      <c r="D24" s="57"/>
      <c r="E24" s="57"/>
    </row>
    <row r="25" spans="1:5" ht="13.8">
      <c r="A25" s="58" t="str">
        <f>"Mỗi user dùng "&amp;TEXT('Cấu hình'!$B$2*'Cấu hình'!$B$7,"0.0")&amp;" Neurons/ngày."</f>
        <v>Mỗi user dùng 466.3 Neurons/ngày.</v>
      </c>
      <c r="B25" s="58"/>
      <c r="C25" s="58"/>
      <c r="D25" s="58"/>
      <c r="E25" s="58"/>
    </row>
    <row r="26" spans="1:5">
      <c r="A26" s="59" t="str">
        <f>"每位用户每天使用 "&amp;TEXT('Cấu hình'!$B$2*'Cấu hình'!$B$7,"0.0")&amp;" Neurons。"</f>
        <v>每位用户每天使用 466.3 Neurons。</v>
      </c>
      <c r="B26" s="59"/>
      <c r="C26" s="59"/>
      <c r="D26" s="59"/>
      <c r="E26" s="59"/>
    </row>
    <row r="27" spans="1:5" ht="13.8">
      <c r="A27" s="58" t="str">
        <f>"Chi phí AI tháng = max(0; "&amp;TEXT('Cấu hình'!$B$2*'Cấu hình'!$B$7,"0.0")&amp;" x số user - "&amp;TEXT('Cấu hình'!$B$8,"#,##0")&amp;") x "&amp;TEXT('Cấu hình'!$B$3,"0")&amp;" x "&amp;TEXT('Cấu hình'!$B$10,"0.000")&amp;" / 1.000."</f>
        <v>Chi phí AI tháng = max(0; 466.3 x số user - 10,000) x 30 x 0.011 / 1.000.</v>
      </c>
      <c r="B27" s="58"/>
      <c r="C27" s="58"/>
      <c r="D27" s="58"/>
      <c r="E27" s="58"/>
    </row>
    <row r="28" spans="1:5">
      <c r="A28" s="59" t="str">
        <f>"每月 AI 成本 = max(0；"&amp;TEXT('Cấu hình'!$B$2*'Cấu hình'!$B$7,"0.0")&amp;" × 用户数 - "&amp;TEXT('Cấu hình'!$B$8,"#,##0")&amp;") × "&amp;TEXT('Cấu hình'!$B$3,"0")&amp;" × "&amp;TEXT('Cấu hình'!$B$10,"0.000")&amp;" / 1,000。"</f>
        <v>每月 AI 成本 = max(0；466.3 × 用户数 - 10,000) × 30 × 0.011 / 1,000。</v>
      </c>
      <c r="B28" s="59"/>
      <c r="C28" s="59"/>
      <c r="D28" s="59"/>
      <c r="E28" s="59"/>
    </row>
    <row r="29" spans="1:5" ht="13.8">
      <c r="A29" s="58" t="str">
        <f>"Khi vượt quota ngày, cộng tối thiểu "&amp;TEXT('Cấu hình'!$B$9,"0.00")&amp;" USD/tháng cho Workers Paid."</f>
        <v>Khi vượt quota ngày, cộng tối thiểu 5.00 USD/tháng cho Workers Paid.</v>
      </c>
      <c r="B29" s="58"/>
      <c r="C29" s="58"/>
      <c r="D29" s="58"/>
      <c r="E29" s="58"/>
    </row>
    <row r="30" spans="1:5">
      <c r="A30" s="59" t="str">
        <f>"当每日用量超过免费额度时，需要至少支付每月 "&amp;TEXT('Cấu hình'!$B$9,"0.00")&amp;" 美元的 Workers Paid 套餐费。"</f>
        <v>当每日用量超过免费额度时，需要至少支付每月 5.00 美元的 Workers Paid 套餐费。</v>
      </c>
      <c r="B30" s="59"/>
      <c r="C30" s="59"/>
      <c r="D30" s="59"/>
      <c r="E30" s="59"/>
    </row>
    <row r="31" spans="1:5" ht="13.8">
      <c r="A31" s="60" t="str">
        <f>"Nếu vượt quota Workers Paid, AI được tính riêng ở mức $"&amp;TEXT('Cấu hình'!$B$10,"0.000")&amp;"/1.000 Neurons."</f>
        <v>Nếu vượt quota Workers Paid, AI được tính riêng ở mức $0.011/1.000 Neurons.</v>
      </c>
      <c r="B31" s="60"/>
      <c r="C31" s="60"/>
      <c r="D31" s="60"/>
      <c r="E31" s="60"/>
    </row>
    <row r="32" spans="1:5">
      <c r="A32" s="12" t="str">
        <f>"使用 Workers Paid 后，超出免费额度的 AI 用量按每 1,000 Neurons "&amp;TEXT('Cấu hình'!$B$10,"0.000")&amp;" 美元另行计费。"</f>
        <v>使用 Workers Paid 后，超出免费额度的 AI 用量按每 1,000 Neurons 0.011 美元另行计费。</v>
      </c>
    </row>
    <row r="33" spans="1:4">
      <c r="A33" s="13"/>
    </row>
    <row r="34" spans="1:4" ht="21">
      <c r="A34" s="4" t="s">
        <v>3</v>
      </c>
      <c r="B34" s="4" t="s">
        <v>4</v>
      </c>
      <c r="C34" s="4" t="s">
        <v>5</v>
      </c>
      <c r="D34" s="4" t="s">
        <v>6</v>
      </c>
    </row>
    <row r="35" spans="1:4">
      <c r="A35" s="14">
        <v>1</v>
      </c>
      <c r="B35" s="15">
        <f>A35*'Cấu hình'!$B$2*'Cấu hình'!$B$3</f>
        <v>300</v>
      </c>
      <c r="C35" s="40">
        <f>IF(A35*'Cấu hình'!$B$2*'Cấu hình'!$B$7&lt;='Cấu hình'!$B$8,0,'Cấu hình'!$B$9+(A35*'Cấu hình'!$B$2*'Cấu hình'!$B$7-'Cấu hình'!$B$8)*'Cấu hình'!$B$3*'Cấu hình'!$B$10/1000)</f>
        <v>0</v>
      </c>
      <c r="D35" s="41">
        <f>C35*'Cấu hình'!$B$4</f>
        <v>0</v>
      </c>
    </row>
    <row r="36" spans="1:4">
      <c r="A36" s="14">
        <v>100</v>
      </c>
      <c r="B36" s="15">
        <f>A36*'Cấu hình'!$B$2*'Cấu hình'!$B$3</f>
        <v>30000</v>
      </c>
      <c r="C36" s="40">
        <f>IF(A36*'Cấu hình'!$B$2*'Cấu hình'!$B$7&lt;='Cấu hình'!$B$8,0,'Cấu hình'!$B$9+(A36*'Cấu hình'!$B$2*'Cấu hình'!$B$7-'Cấu hình'!$B$8)*'Cấu hình'!$B$3*'Cấu hình'!$B$10/1000)</f>
        <v>17.087899999999998</v>
      </c>
      <c r="D36" s="41">
        <f>C36*'Cấu hình'!$B$4</f>
        <v>444285.39999999997</v>
      </c>
    </row>
    <row r="37" spans="1:4">
      <c r="A37" s="14">
        <v>500</v>
      </c>
      <c r="B37" s="15">
        <f>A37*'Cấu hình'!$B$2*'Cấu hình'!$B$3</f>
        <v>150000</v>
      </c>
      <c r="C37" s="40">
        <f>IF(A37*'Cấu hình'!$B$2*'Cấu hình'!$B$7&lt;='Cấu hình'!$B$8,0,'Cấu hình'!$B$9+(A37*'Cấu hình'!$B$2*'Cấu hình'!$B$7-'Cấu hình'!$B$8)*'Cấu hình'!$B$3*'Cấu hình'!$B$10/1000)</f>
        <v>78.639499999999998</v>
      </c>
      <c r="D37" s="41">
        <f>C37*'Cấu hình'!$B$4</f>
        <v>2044627</v>
      </c>
    </row>
    <row r="38" spans="1:4">
      <c r="A38" s="15">
        <v>1000</v>
      </c>
      <c r="B38" s="15">
        <f>A38*'Cấu hình'!$B$2*'Cấu hình'!$B$3</f>
        <v>300000</v>
      </c>
      <c r="C38" s="40">
        <f>IF(A38*'Cấu hình'!$B$2*'Cấu hình'!$B$7&lt;='Cấu hình'!$B$8,0,'Cấu hình'!$B$9+(A38*'Cấu hình'!$B$2*'Cấu hình'!$B$7-'Cấu hình'!$B$8)*'Cấu hình'!$B$3*'Cấu hình'!$B$10/1000)</f>
        <v>155.57900000000001</v>
      </c>
      <c r="D38" s="41">
        <f>C38*'Cấu hình'!$B$4</f>
        <v>4045054</v>
      </c>
    </row>
    <row r="39" spans="1:4">
      <c r="A39" s="15">
        <v>2000</v>
      </c>
      <c r="B39" s="15">
        <f>A39*'Cấu hình'!$B$2*'Cấu hình'!$B$3</f>
        <v>600000</v>
      </c>
      <c r="C39" s="40">
        <f>IF(A39*'Cấu hình'!$B$2*'Cấu hình'!$B$7&lt;='Cấu hình'!$B$8,0,'Cấu hình'!$B$9+(A39*'Cấu hình'!$B$2*'Cấu hình'!$B$7-'Cấu hình'!$B$8)*'Cấu hình'!$B$3*'Cấu hình'!$B$10/1000)</f>
        <v>309.45800000000003</v>
      </c>
      <c r="D39" s="41">
        <f>C39*'Cấu hình'!$B$4</f>
        <v>8045908.0000000009</v>
      </c>
    </row>
    <row r="40" spans="1:4">
      <c r="A40" s="15">
        <v>3000</v>
      </c>
      <c r="B40" s="15">
        <f>A40*'Cấu hình'!$B$2*'Cấu hình'!$B$3</f>
        <v>900000</v>
      </c>
      <c r="C40" s="40">
        <f>IF(A40*'Cấu hình'!$B$2*'Cấu hình'!$B$7&lt;='Cấu hình'!$B$8,0,'Cấu hình'!$B$9+(A40*'Cấu hình'!$B$2*'Cấu hình'!$B$7-'Cấu hình'!$B$8)*'Cấu hình'!$B$3*'Cấu hình'!$B$10/1000)</f>
        <v>463.33699999999999</v>
      </c>
      <c r="D40" s="41">
        <f>C40*'Cấu hình'!$B$4</f>
        <v>12046762</v>
      </c>
    </row>
    <row r="41" spans="1:4">
      <c r="A41" s="15">
        <v>5000</v>
      </c>
      <c r="B41" s="15">
        <f>A41*'Cấu hình'!$B$2*'Cấu hình'!$B$3</f>
        <v>1500000</v>
      </c>
      <c r="C41" s="40">
        <f>IF(A41*'Cấu hình'!$B$2*'Cấu hình'!$B$7&lt;='Cấu hình'!$B$8,0,'Cấu hình'!$B$9+(A41*'Cấu hình'!$B$2*'Cấu hình'!$B$7-'Cấu hình'!$B$8)*'Cấu hình'!$B$3*'Cấu hình'!$B$10/1000)</f>
        <v>771.09500000000003</v>
      </c>
      <c r="D41" s="41">
        <f>C41*'Cấu hình'!$B$4</f>
        <v>20048470</v>
      </c>
    </row>
    <row r="44" spans="1:4" ht="28.8">
      <c r="A44" s="16" t="s">
        <v>12</v>
      </c>
    </row>
    <row r="45" spans="1:4" ht="13.8">
      <c r="A45" s="2" t="s">
        <v>13</v>
      </c>
    </row>
    <row r="46" spans="1:4" ht="13.8">
      <c r="A46" s="17"/>
    </row>
    <row r="47" spans="1:4" ht="13.8">
      <c r="A47" s="9" t="s">
        <v>14</v>
      </c>
    </row>
    <row r="48" spans="1:4">
      <c r="A48" s="10" t="s">
        <v>15</v>
      </c>
    </row>
    <row r="49" spans="1:4" ht="13.8">
      <c r="A49" s="11" t="s">
        <v>16</v>
      </c>
    </row>
    <row r="50" spans="1:4" ht="13.8">
      <c r="A50" s="11" t="str">
        <f>"Tổng 1 replica(máy chủ): "&amp;TEXT('Cấu hình'!$B$13,"0.000")&amp;" USD/giờ."</f>
        <v>Tổng 1 replica(máy chủ): 0.621 USD/giờ.</v>
      </c>
    </row>
    <row r="51" spans="1:4">
      <c r="A51" s="12" t="str">
        <f>"1 个副本（服务器）的总成本：每小时 "&amp;TEXT('Cấu hình'!$B$13,"0.000")&amp;" 美元。"</f>
        <v>1 个副本（服务器）的总成本：每小时 0.621 美元。</v>
      </c>
    </row>
    <row r="52" spans="1:4" ht="13.8">
      <c r="A52" s="11" t="str">
        <f>"1 replica(máy chủ) chạy 24/7 = "&amp;TEXT('Cấu hình'!$B$13*'Cấu hình'!$B$14,"#,##0.00")&amp;" USD/tháng."</f>
        <v>1 replica(máy chủ) chạy 24/7 = 453.33 USD/tháng.</v>
      </c>
    </row>
    <row r="53" spans="1:4">
      <c r="A53" s="12" t="str">
        <f>"1 个副本（服务器）全天候运行 = 每月 "&amp;TEXT('Cấu hình'!$B$13*'Cấu hình'!$B$14,"#,##0.00")&amp;" 美元。"</f>
        <v>1 个副本（服务器）全天候运行 = 每月 453.33 美元。</v>
      </c>
    </row>
    <row r="54" spans="1:4">
      <c r="A54" s="13"/>
    </row>
    <row r="55" spans="1:4" ht="51.6">
      <c r="A55" s="4" t="s">
        <v>3</v>
      </c>
      <c r="B55" s="4" t="s">
        <v>17</v>
      </c>
      <c r="C55" s="18" t="s">
        <v>18</v>
      </c>
      <c r="D55" s="18" t="s">
        <v>19</v>
      </c>
    </row>
    <row r="56" spans="1:4">
      <c r="A56" s="5">
        <v>1</v>
      </c>
      <c r="B56" s="42">
        <f>A56*'Cấu hình'!$B$2*'Cấu hình'!$B$3/60</f>
        <v>5</v>
      </c>
      <c r="C56" s="43" t="str">
        <f>IF(MAX(1,ROUNDUP(A56*'Cấu hình'!$B$2*'Cấu hình'!$B$3/60/'Cấu hình'!$B$15,0))=MAX(1,ROUNDUP(A56*'Cấu hình'!$B$2*'Cấu hình'!$B$3/60/'Cấu hình'!$B$16,0)),TEXT(MAX(1,ROUNDUP(A56*'Cấu hình'!$B$2*'Cấu hình'!$B$3/60/'Cấu hình'!$B$15,0)),"0"),TEXT(MAX(1,ROUNDUP(A56*'Cấu hình'!$B$2*'Cấu hình'!$B$3/60/'Cấu hình'!$B$15,0)),"0")&amp;"-"&amp;TEXT(MAX(1,ROUNDUP(A56*'Cấu hình'!$B$2*'Cấu hình'!$B$3/60/'Cấu hình'!$B$16,0)),"0"))</f>
        <v>1</v>
      </c>
      <c r="D56" s="5" t="str">
        <f>IF(MAX(1,ROUNDUP(A56*'Cấu hình'!$B$2*'Cấu hình'!$B$3/60/'Cấu hình'!$B$15,0))=MAX(1,ROUNDUP(A56*'Cấu hình'!$B$2*'Cấu hình'!$B$3/60/'Cấu hình'!$B$16,0)),TEXT(MAX(1,ROUNDUP(A56*'Cấu hình'!$B$2*'Cấu hình'!$B$3/60/'Cấu hình'!$B$15,0))*'Cấu hình'!$B$13*'Cấu hình'!$B$14,"$#,##0.00"),TEXT(MAX(1,ROUNDUP(A56*'Cấu hình'!$B$2*'Cấu hình'!$B$3/60/'Cấu hình'!$B$15,0))*'Cấu hình'!$B$13*'Cấu hình'!$B$14,"#,##0.00")&amp;"–"&amp;TEXT(MAX(1,ROUNDUP(A56*'Cấu hình'!$B$2*'Cấu hình'!$B$3/60/'Cấu hình'!$B$16,0))*'Cấu hình'!$B$13*'Cấu hình'!$B$14,"#,##0.00"))</f>
        <v>$453.33</v>
      </c>
    </row>
    <row r="57" spans="1:4">
      <c r="A57" s="5">
        <v>100</v>
      </c>
      <c r="B57" s="42">
        <f>A57*'Cấu hình'!$B$2*'Cấu hình'!$B$3/60</f>
        <v>500</v>
      </c>
      <c r="C57" s="43" t="str">
        <f>IF(MAX(1,ROUNDUP(A57*'Cấu hình'!$B$2*'Cấu hình'!$B$3/60/'Cấu hình'!$B$15,0))=MAX(1,ROUNDUP(A57*'Cấu hình'!$B$2*'Cấu hình'!$B$3/60/'Cấu hình'!$B$16,0)),TEXT(MAX(1,ROUNDUP(A57*'Cấu hình'!$B$2*'Cấu hình'!$B$3/60/'Cấu hình'!$B$15,0)),"0"),TEXT(MAX(1,ROUNDUP(A57*'Cấu hình'!$B$2*'Cấu hình'!$B$3/60/'Cấu hình'!$B$15,0)),"0")&amp;"-"&amp;TEXT(MAX(1,ROUNDUP(A57*'Cấu hình'!$B$2*'Cấu hình'!$B$3/60/'Cấu hình'!$B$16,0)),"0"))</f>
        <v>1</v>
      </c>
      <c r="D57" s="5" t="str">
        <f>IF(MAX(1,ROUNDUP(A57*'Cấu hình'!$B$2*'Cấu hình'!$B$3/60/'Cấu hình'!$B$15,0))=MAX(1,ROUNDUP(A57*'Cấu hình'!$B$2*'Cấu hình'!$B$3/60/'Cấu hình'!$B$16,0)),TEXT(MAX(1,ROUNDUP(A57*'Cấu hình'!$B$2*'Cấu hình'!$B$3/60/'Cấu hình'!$B$15,0))*'Cấu hình'!$B$13*'Cấu hình'!$B$14,"$#,##0.00"),TEXT(MAX(1,ROUNDUP(A57*'Cấu hình'!$B$2*'Cấu hình'!$B$3/60/'Cấu hình'!$B$15,0))*'Cấu hình'!$B$13*'Cấu hình'!$B$14,"#,##0.00")&amp;"–"&amp;TEXT(MAX(1,ROUNDUP(A57*'Cấu hình'!$B$2*'Cấu hình'!$B$3/60/'Cấu hình'!$B$16,0))*'Cấu hình'!$B$13*'Cấu hình'!$B$14,"#,##0.00"))</f>
        <v>$453.33</v>
      </c>
    </row>
    <row r="58" spans="1:4">
      <c r="A58" s="5">
        <v>500</v>
      </c>
      <c r="B58" s="42">
        <f>A58*'Cấu hình'!$B$2*'Cấu hình'!$B$3/60</f>
        <v>2500</v>
      </c>
      <c r="C58" s="43" t="str">
        <f>IF(MAX(1,ROUNDUP(A58*'Cấu hình'!$B$2*'Cấu hình'!$B$3/60/'Cấu hình'!$B$15,0))=MAX(1,ROUNDUP(A58*'Cấu hình'!$B$2*'Cấu hình'!$B$3/60/'Cấu hình'!$B$16,0)),TEXT(MAX(1,ROUNDUP(A58*'Cấu hình'!$B$2*'Cấu hình'!$B$3/60/'Cấu hình'!$B$15,0)),"0"),TEXT(MAX(1,ROUNDUP(A58*'Cấu hình'!$B$2*'Cấu hình'!$B$3/60/'Cấu hình'!$B$15,0)),"0")&amp;"-"&amp;TEXT(MAX(1,ROUNDUP(A58*'Cấu hình'!$B$2*'Cấu hình'!$B$3/60/'Cấu hình'!$B$16,0)),"0"))</f>
        <v>1</v>
      </c>
      <c r="D58" s="5" t="str">
        <f>IF(MAX(1,ROUNDUP(A58*'Cấu hình'!$B$2*'Cấu hình'!$B$3/60/'Cấu hình'!$B$15,0))=MAX(1,ROUNDUP(A58*'Cấu hình'!$B$2*'Cấu hình'!$B$3/60/'Cấu hình'!$B$16,0)),TEXT(MAX(1,ROUNDUP(A58*'Cấu hình'!$B$2*'Cấu hình'!$B$3/60/'Cấu hình'!$B$15,0))*'Cấu hình'!$B$13*'Cấu hình'!$B$14,"$#,##0.00"),TEXT(MAX(1,ROUNDUP(A58*'Cấu hình'!$B$2*'Cấu hình'!$B$3/60/'Cấu hình'!$B$15,0))*'Cấu hình'!$B$13*'Cấu hình'!$B$14,"#,##0.00")&amp;"–"&amp;TEXT(MAX(1,ROUNDUP(A58*'Cấu hình'!$B$2*'Cấu hình'!$B$3/60/'Cấu hình'!$B$16,0))*'Cấu hình'!$B$13*'Cấu hình'!$B$14,"#,##0.00"))</f>
        <v>$453.33</v>
      </c>
    </row>
    <row r="59" spans="1:4">
      <c r="A59" s="6">
        <v>1000</v>
      </c>
      <c r="B59" s="42">
        <f>A59*'Cấu hình'!$B$2*'Cấu hình'!$B$3/60</f>
        <v>5000</v>
      </c>
      <c r="C59" s="43" t="str">
        <f>IF(MAX(1,ROUNDUP(A59*'Cấu hình'!$B$2*'Cấu hình'!$B$3/60/'Cấu hình'!$B$15,0))=MAX(1,ROUNDUP(A59*'Cấu hình'!$B$2*'Cấu hình'!$B$3/60/'Cấu hình'!$B$16,0)),TEXT(MAX(1,ROUNDUP(A59*'Cấu hình'!$B$2*'Cấu hình'!$B$3/60/'Cấu hình'!$B$15,0)),"0"),TEXT(MAX(1,ROUNDUP(A59*'Cấu hình'!$B$2*'Cấu hình'!$B$3/60/'Cấu hình'!$B$15,0)),"0")&amp;"-"&amp;TEXT(MAX(1,ROUNDUP(A59*'Cấu hình'!$B$2*'Cấu hình'!$B$3/60/'Cấu hình'!$B$16,0)),"0"))</f>
        <v>1-2</v>
      </c>
      <c r="D59" s="5" t="str">
        <f>IF(MAX(1,ROUNDUP(A59*'Cấu hình'!$B$2*'Cấu hình'!$B$3/60/'Cấu hình'!$B$15,0))=MAX(1,ROUNDUP(A59*'Cấu hình'!$B$2*'Cấu hình'!$B$3/60/'Cấu hình'!$B$16,0)),TEXT(MAX(1,ROUNDUP(A59*'Cấu hình'!$B$2*'Cấu hình'!$B$3/60/'Cấu hình'!$B$15,0))*'Cấu hình'!$B$13*'Cấu hình'!$B$14,"$#,##0.00"),TEXT(MAX(1,ROUNDUP(A59*'Cấu hình'!$B$2*'Cấu hình'!$B$3/60/'Cấu hình'!$B$15,0))*'Cấu hình'!$B$13*'Cấu hình'!$B$14,"#,##0.00")&amp;"–"&amp;TEXT(MAX(1,ROUNDUP(A59*'Cấu hình'!$B$2*'Cấu hình'!$B$3/60/'Cấu hình'!$B$16,0))*'Cấu hình'!$B$13*'Cấu hình'!$B$14,"#,##0.00"))</f>
        <v>453.33–906.66</v>
      </c>
    </row>
    <row r="60" spans="1:4">
      <c r="A60" s="6">
        <v>2000</v>
      </c>
      <c r="B60" s="42">
        <f>A60*'Cấu hình'!$B$2*'Cấu hình'!$B$3/60</f>
        <v>10000</v>
      </c>
      <c r="C60" s="43" t="str">
        <f>IF(MAX(1,ROUNDUP(A60*'Cấu hình'!$B$2*'Cấu hình'!$B$3/60/'Cấu hình'!$B$15,0))=MAX(1,ROUNDUP(A60*'Cấu hình'!$B$2*'Cấu hình'!$B$3/60/'Cấu hình'!$B$16,0)),TEXT(MAX(1,ROUNDUP(A60*'Cấu hình'!$B$2*'Cấu hình'!$B$3/60/'Cấu hình'!$B$15,0)),"0"),TEXT(MAX(1,ROUNDUP(A60*'Cấu hình'!$B$2*'Cấu hình'!$B$3/60/'Cấu hình'!$B$15,0)),"0")&amp;"-"&amp;TEXT(MAX(1,ROUNDUP(A60*'Cấu hình'!$B$2*'Cấu hình'!$B$3/60/'Cấu hình'!$B$16,0)),"0"))</f>
        <v>2-4</v>
      </c>
      <c r="D60" s="5" t="str">
        <f>IF(MAX(1,ROUNDUP(A60*'Cấu hình'!$B$2*'Cấu hình'!$B$3/60/'Cấu hình'!$B$15,0))=MAX(1,ROUNDUP(A60*'Cấu hình'!$B$2*'Cấu hình'!$B$3/60/'Cấu hình'!$B$16,0)),TEXT(MAX(1,ROUNDUP(A60*'Cấu hình'!$B$2*'Cấu hình'!$B$3/60/'Cấu hình'!$B$15,0))*'Cấu hình'!$B$13*'Cấu hình'!$B$14,"$#,##0.00"),TEXT(MAX(1,ROUNDUP(A60*'Cấu hình'!$B$2*'Cấu hình'!$B$3/60/'Cấu hình'!$B$15,0))*'Cấu hình'!$B$13*'Cấu hình'!$B$14,"#,##0.00")&amp;"–"&amp;TEXT(MAX(1,ROUNDUP(A60*'Cấu hình'!$B$2*'Cấu hình'!$B$3/60/'Cấu hình'!$B$16,0))*'Cấu hình'!$B$13*'Cấu hình'!$B$14,"#,##0.00"))</f>
        <v>906.66–1,813.32</v>
      </c>
    </row>
    <row r="61" spans="1:4">
      <c r="A61" s="6">
        <v>3000</v>
      </c>
      <c r="B61" s="42">
        <f>A61*'Cấu hình'!$B$2*'Cấu hình'!$B$3/60</f>
        <v>15000</v>
      </c>
      <c r="C61" s="43" t="str">
        <f>IF(MAX(1,ROUNDUP(A61*'Cấu hình'!$B$2*'Cấu hình'!$B$3/60/'Cấu hình'!$B$15,0))=MAX(1,ROUNDUP(A61*'Cấu hình'!$B$2*'Cấu hình'!$B$3/60/'Cấu hình'!$B$16,0)),TEXT(MAX(1,ROUNDUP(A61*'Cấu hình'!$B$2*'Cấu hình'!$B$3/60/'Cấu hình'!$B$15,0)),"0"),TEXT(MAX(1,ROUNDUP(A61*'Cấu hình'!$B$2*'Cấu hình'!$B$3/60/'Cấu hình'!$B$15,0)),"0")&amp;"-"&amp;TEXT(MAX(1,ROUNDUP(A61*'Cấu hình'!$B$2*'Cấu hình'!$B$3/60/'Cấu hình'!$B$16,0)),"0"))</f>
        <v>3-6</v>
      </c>
      <c r="D61" s="5" t="str">
        <f>IF(MAX(1,ROUNDUP(A61*'Cấu hình'!$B$2*'Cấu hình'!$B$3/60/'Cấu hình'!$B$15,0))=MAX(1,ROUNDUP(A61*'Cấu hình'!$B$2*'Cấu hình'!$B$3/60/'Cấu hình'!$B$16,0)),TEXT(MAX(1,ROUNDUP(A61*'Cấu hình'!$B$2*'Cấu hình'!$B$3/60/'Cấu hình'!$B$15,0))*'Cấu hình'!$B$13*'Cấu hình'!$B$14,"$#,##0.00"),TEXT(MAX(1,ROUNDUP(A61*'Cấu hình'!$B$2*'Cấu hình'!$B$3/60/'Cấu hình'!$B$15,0))*'Cấu hình'!$B$13*'Cấu hình'!$B$14,"#,##0.00")&amp;"–"&amp;TEXT(MAX(1,ROUNDUP(A61*'Cấu hình'!$B$2*'Cấu hình'!$B$3/60/'Cấu hình'!$B$16,0))*'Cấu hình'!$B$13*'Cấu hình'!$B$14,"#,##0.00"))</f>
        <v>1,359.99–2,719.98</v>
      </c>
    </row>
    <row r="62" spans="1:4">
      <c r="A62" s="6">
        <v>5000</v>
      </c>
      <c r="B62" s="42">
        <f>A62*'Cấu hình'!$B$2*'Cấu hình'!$B$3/60</f>
        <v>25000</v>
      </c>
      <c r="C62" s="43" t="str">
        <f>IF(MAX(1,ROUNDUP(A62*'Cấu hình'!$B$2*'Cấu hình'!$B$3/60/'Cấu hình'!$B$15,0))=MAX(1,ROUNDUP(A62*'Cấu hình'!$B$2*'Cấu hình'!$B$3/60/'Cấu hình'!$B$16,0)),TEXT(MAX(1,ROUNDUP(A62*'Cấu hình'!$B$2*'Cấu hình'!$B$3/60/'Cấu hình'!$B$15,0)),"0"),TEXT(MAX(1,ROUNDUP(A62*'Cấu hình'!$B$2*'Cấu hình'!$B$3/60/'Cấu hình'!$B$15,0)),"0")&amp;"-"&amp;TEXT(MAX(1,ROUNDUP(A62*'Cấu hình'!$B$2*'Cấu hình'!$B$3/60/'Cấu hình'!$B$16,0)),"0"))</f>
        <v>5-10</v>
      </c>
      <c r="D62" s="5" t="str">
        <f>IF(MAX(1,ROUNDUP(A62*'Cấu hình'!$B$2*'Cấu hình'!$B$3/60/'Cấu hình'!$B$15,0))=MAX(1,ROUNDUP(A62*'Cấu hình'!$B$2*'Cấu hình'!$B$3/60/'Cấu hình'!$B$16,0)),TEXT(MAX(1,ROUNDUP(A62*'Cấu hình'!$B$2*'Cấu hình'!$B$3/60/'Cấu hình'!$B$15,0))*'Cấu hình'!$B$13*'Cấu hình'!$B$14,"$#,##0.00"),TEXT(MAX(1,ROUNDUP(A62*'Cấu hình'!$B$2*'Cấu hình'!$B$3/60/'Cấu hình'!$B$15,0))*'Cấu hình'!$B$13*'Cấu hình'!$B$14,"#,##0.00")&amp;"–"&amp;TEXT(MAX(1,ROUNDUP(A62*'Cấu hình'!$B$2*'Cấu hình'!$B$3/60/'Cấu hình'!$B$16,0))*'Cấu hình'!$B$13*'Cấu hình'!$B$14,"#,##0.00"))</f>
        <v>2,266.65–4,533.30</v>
      </c>
    </row>
    <row r="63" spans="1:4">
      <c r="A63" s="13"/>
    </row>
    <row r="64" spans="1:4">
      <c r="A64" s="62" t="s">
        <v>20</v>
      </c>
      <c r="B64" s="62"/>
      <c r="C64" s="62"/>
      <c r="D64" s="62"/>
    </row>
    <row r="65" spans="1:1">
      <c r="A65" s="20" t="s">
        <v>21</v>
      </c>
    </row>
    <row r="66" spans="1:1">
      <c r="A66" s="20"/>
    </row>
    <row r="67" spans="1:1">
      <c r="A67" s="19" t="s">
        <v>22</v>
      </c>
    </row>
    <row r="68" spans="1:1">
      <c r="A68" s="20" t="s">
        <v>23</v>
      </c>
    </row>
    <row r="69" spans="1:1">
      <c r="A69" s="20"/>
    </row>
    <row r="70" spans="1:1">
      <c r="A70" s="19" t="s">
        <v>24</v>
      </c>
    </row>
    <row r="71" spans="1:1">
      <c r="A71" s="20" t="s">
        <v>25</v>
      </c>
    </row>
    <row r="72" spans="1:1">
      <c r="A72" s="20"/>
    </row>
    <row r="73" spans="1:1">
      <c r="A73" s="63" t="s">
        <v>26</v>
      </c>
    </row>
    <row r="74" spans="1:1">
      <c r="A74" s="20" t="s">
        <v>27</v>
      </c>
    </row>
    <row r="75" spans="1:1">
      <c r="A75" s="19" t="s">
        <v>28</v>
      </c>
    </row>
    <row r="76" spans="1:1">
      <c r="A76" s="20" t="s">
        <v>29</v>
      </c>
    </row>
    <row r="77" spans="1:1">
      <c r="A77" s="19"/>
    </row>
    <row r="78" spans="1:1">
      <c r="A78" s="21" t="s">
        <v>30</v>
      </c>
    </row>
    <row r="79" spans="1:1">
      <c r="A79" s="21"/>
    </row>
    <row r="80" spans="1:1">
      <c r="A80" s="22" t="s">
        <v>31</v>
      </c>
    </row>
    <row r="81" spans="1:1">
      <c r="A81" s="22"/>
    </row>
    <row r="82" spans="1:1">
      <c r="A82" s="19" t="s">
        <v>32</v>
      </c>
    </row>
    <row r="83" spans="1:1">
      <c r="A83" s="19"/>
    </row>
    <row r="84" spans="1:1">
      <c r="A84" s="22" t="s">
        <v>33</v>
      </c>
    </row>
    <row r="85" spans="1:1">
      <c r="A85" s="22"/>
    </row>
    <row r="86" spans="1:1">
      <c r="A86" s="19" t="s">
        <v>34</v>
      </c>
    </row>
    <row r="87" spans="1:1">
      <c r="A87" s="19"/>
    </row>
    <row r="88" spans="1:1">
      <c r="A88" s="22" t="s">
        <v>35</v>
      </c>
    </row>
    <row r="89" spans="1:1">
      <c r="A89" s="22"/>
    </row>
    <row r="90" spans="1:1">
      <c r="A90" s="19" t="s">
        <v>36</v>
      </c>
    </row>
    <row r="91" spans="1:1">
      <c r="A91" s="19"/>
    </row>
    <row r="92" spans="1:1">
      <c r="A92" s="22" t="s">
        <v>37</v>
      </c>
    </row>
    <row r="93" spans="1:1">
      <c r="A93" s="22"/>
    </row>
    <row r="94" spans="1:1">
      <c r="A94" s="19" t="s">
        <v>38</v>
      </c>
    </row>
    <row r="95" spans="1:1">
      <c r="A95" s="19"/>
    </row>
    <row r="96" spans="1:1">
      <c r="A96" s="22" t="s">
        <v>39</v>
      </c>
    </row>
    <row r="97" spans="1:1">
      <c r="A97" s="22"/>
    </row>
    <row r="98" spans="1:1">
      <c r="A98" s="21" t="s">
        <v>40</v>
      </c>
    </row>
    <row r="99" spans="1:1">
      <c r="A99" s="21"/>
    </row>
    <row r="100" spans="1:1">
      <c r="A100" s="22" t="s">
        <v>41</v>
      </c>
    </row>
    <row r="101" spans="1:1">
      <c r="A101" s="22"/>
    </row>
    <row r="102" spans="1:1">
      <c r="A102" s="19" t="str">
        <f>"Theo đơn giá trong báo cáo, chi phí của 1 replica là "&amp;TEXT('Cấu hình'!$B$13,"0.000")&amp;" USD/giờ."</f>
        <v>Theo đơn giá trong báo cáo, chi phí của 1 replica là 0.621 USD/giờ.</v>
      </c>
    </row>
    <row r="103" spans="1:1">
      <c r="A103" s="22" t="str">
        <f>"根据报告中的单价，1 个副本的费用为 "&amp;TEXT('Cấu hình'!$B$13,"0.000")&amp;" 美元/小时。"</f>
        <v>根据报告中的单价，1 个副本的费用为 0.621 美元/小时。</v>
      </c>
    </row>
    <row r="104" spans="1:1">
      <c r="A104" s="22" t="str">
        <f>"Chi phí chạy liên tục trong 7 ngày: "&amp;TEXT('Cấu hình'!$B$13*24*7,"#,##0.00")&amp;" USD."</f>
        <v>Chi phí chạy liên tục trong 7 ngày: 104.33 USD.</v>
      </c>
    </row>
    <row r="105" spans="1:1">
      <c r="A105" s="22" t="str">
        <f>"连续运行 7 天的费用："&amp;TEXT('Cấu hình'!$B$13*24*7,"#,##0.00")&amp;" 美元。"</f>
        <v>连续运行 7 天的费用：104.33 美元。</v>
      </c>
    </row>
    <row r="106" spans="1:1">
      <c r="A106" s="22"/>
    </row>
    <row r="107" spans="1:1" ht="13.8">
      <c r="A107" s="23" t="s">
        <v>42</v>
      </c>
    </row>
    <row r="108" spans="1:1" ht="13.8">
      <c r="A108" s="23"/>
    </row>
    <row r="109" spans="1:1" ht="13.8">
      <c r="A109" s="24" t="s">
        <v>43</v>
      </c>
    </row>
    <row r="110" spans="1:1" ht="13.8">
      <c r="A110" s="25" t="s">
        <v>44</v>
      </c>
    </row>
    <row r="111" spans="1:1" ht="13.8">
      <c r="A111" s="25"/>
    </row>
    <row r="112" spans="1:1" ht="14.4">
      <c r="A112" s="26" t="s">
        <v>45</v>
      </c>
    </row>
    <row r="113" spans="1:1" ht="14.4">
      <c r="A113" s="26"/>
    </row>
    <row r="114" spans="1:1" ht="13.8">
      <c r="A114" s="27" t="s">
        <v>46</v>
      </c>
    </row>
    <row r="115" spans="1:1" ht="13.8">
      <c r="A115" s="27"/>
    </row>
    <row r="116" spans="1:1" ht="13.8">
      <c r="A116" s="28" t="s">
        <v>47</v>
      </c>
    </row>
    <row r="117" spans="1:1" ht="13.8">
      <c r="A117" s="28"/>
    </row>
    <row r="118" spans="1:1">
      <c r="A118" s="19"/>
    </row>
  </sheetData>
  <mergeCells count="16">
    <mergeCell ref="A28:E28"/>
    <mergeCell ref="A29:E29"/>
    <mergeCell ref="A30:E30"/>
    <mergeCell ref="A31:E31"/>
    <mergeCell ref="A64:D64"/>
    <mergeCell ref="A23:E23"/>
    <mergeCell ref="A24:E24"/>
    <mergeCell ref="A25:E25"/>
    <mergeCell ref="A26:E26"/>
    <mergeCell ref="A27:E27"/>
    <mergeCell ref="A6:A12"/>
    <mergeCell ref="A13:A19"/>
    <mergeCell ref="A1:E1"/>
    <mergeCell ref="A2:E2"/>
    <mergeCell ref="A3:E3"/>
    <mergeCell ref="A4:E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Cấu hình</vt:lpstr>
      <vt:lpstr>Trang tính2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2026-08-21T10:47:37Z</dcterms:modified>
</cp:coreProperties>
</file>