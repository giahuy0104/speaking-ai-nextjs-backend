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Code\HuaMei\App_noi\be\9_10th8\speaking-ai-nextjs-backend\outputs\20260817-innotrik-test-cases-classified\"/>
    </mc:Choice>
  </mc:AlternateContent>
  <xr:revisionPtr revIDLastSave="0" documentId="13_ncr:1_{28E76FBD-CF10-4A8C-A578-CFC28D6A5B84}" xr6:coauthVersionLast="47" xr6:coauthVersionMax="47" xr10:uidLastSave="{00000000-0000-0000-0000-000000000000}"/>
  <bookViews>
    <workbookView xWindow="57480" yWindow="-120" windowWidth="29040" windowHeight="15840" activeTab="1" xr2:uid="{00000000-000D-0000-FFFF-FFFF00000000}"/>
  </bookViews>
  <sheets>
    <sheet name="Test case" sheetId="3" r:id="rId1"/>
    <sheet name="Child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5" l="1"/>
  <c r="E8" i="5"/>
  <c r="F8" i="5" s="1"/>
  <c r="D8" i="5"/>
  <c r="G7" i="5"/>
  <c r="G6" i="5"/>
  <c r="G3" i="5"/>
  <c r="G4" i="5"/>
  <c r="G5" i="5"/>
  <c r="G2" i="5"/>
</calcChain>
</file>

<file path=xl/sharedStrings.xml><?xml version="1.0" encoding="utf-8"?>
<sst xmlns="http://schemas.openxmlformats.org/spreadsheetml/2006/main" count="765" uniqueCount="501">
  <si>
    <t>TC_ID</t>
  </si>
  <si>
    <t>Test scenario</t>
  </si>
  <si>
    <t>Test steps</t>
  </si>
  <si>
    <t>Test data</t>
  </si>
  <si>
    <t>Expected result</t>
  </si>
  <si>
    <t>Notes</t>
  </si>
  <si>
    <t>TC-002</t>
  </si>
  <si>
    <t>Main cố định trên toàn ứng dụng</t>
  </si>
  <si>
    <t>1. Mở lần lượt Trang chủ, Từ vựng, Chủ đề, danh sách bài và bài học
2. Quan sát Main</t>
  </si>
  <si>
    <t>Các màn chính</t>
  </si>
  <si>
    <t>Main luôn hiển thị đúng vị trí, không che nút quan trọng và có thể thao tác.</t>
  </si>
  <si>
    <t>TC-003</t>
  </si>
  <si>
    <t>Nhấn Main tại trang chủ</t>
  </si>
  <si>
    <t>1. Nhấn Main một lần
2. Nghe toàn bộ phản hồi</t>
  </si>
  <si>
    <t>Tap Main</t>
  </si>
  <si>
    <t>Bi cô nói đúng menu chức năng; sau khi nói xong phát tiếng tít rồi mới mở micro.</t>
  </si>
  <si>
    <t>TC-004</t>
  </si>
  <si>
    <t>Không nghe người dùng trong lúc Bi cô đang nói</t>
  </si>
  <si>
    <t>1. Nhấn Main
2. Nói chen khi Bi cô chưa nói xong
3. Nói lại sau tiếng tít</t>
  </si>
  <si>
    <t>Nói chen trước beep</t>
  </si>
  <si>
    <t>Câu nói chen không bị xử lý; chỉ câu sau tiếng tít được nhận diện.</t>
  </si>
  <si>
    <t>TC-005</t>
  </si>
  <si>
    <t>Nhấn Main nhanh hai lần</t>
  </si>
  <si>
    <t>1. Nhấn Main hai lần trong 300 ms
2. Quan sát audio và micro</t>
  </si>
  <si>
    <t>Double tap</t>
  </si>
  <si>
    <t>Chỉ có một phiên trợ lý; không phát hai câu đồng thời; không mở hai micro.</t>
  </si>
  <si>
    <t>TC-006</t>
  </si>
  <si>
    <t>Nói yêu cầu không thuộc menu</t>
  </si>
  <si>
    <t>1. Nhấn Main
2. Sau tiếng tít nói câu không liên quan</t>
  </si>
  <si>
    <t>Con muốn ăn cơm</t>
  </si>
  <si>
    <t>Không điều hướng sai; Bi cô hỏi lại hoặc đưa hướng dẫn lựa chọn hợp lệ.</t>
  </si>
  <si>
    <t>TC-007</t>
  </si>
  <si>
    <t>Không nói trong cửa sổ lệnh đầu tiên</t>
  </si>
  <si>
    <t>1. Nhấn Main
2. Im lặng sau tiếng tít</t>
  </si>
  <si>
    <t>Im lặng ≥ 6 giây</t>
  </si>
  <si>
    <t>Bi cô hỏi lại “Con muốn làm gì?” và mở một cửa sổ nghe mới.</t>
  </si>
  <si>
    <t>TC-008</t>
  </si>
  <si>
    <t>Tiếp tục im lặng sau lần hỏi lại</t>
  </si>
  <si>
    <t>1. Nhấn Main
2. Im lặng ở cả hai cửa sổ nghe</t>
  </si>
  <si>
    <t>Im lặng hai lần</t>
  </si>
  <si>
    <t>Phiên Main kết thúc; nút trở về trạng thái ban đầu; micro được giải phóng.</t>
  </si>
  <si>
    <t>TC-009</t>
  </si>
  <si>
    <t>Không nhận lại chính câu Bi cô vừa phát</t>
  </si>
  <si>
    <t>1. Nhấn Main
2. Để loa ngoài hoạt động bình thường
3. Không nói gì</t>
  </si>
  <si>
    <t>Prompt phát qua loa</t>
  </si>
  <si>
    <t>Prompt không bị ASR coi là lệnh của trẻ; không tự điều hướng.</t>
  </si>
  <si>
    <t>TC-010</t>
  </si>
  <si>
    <t>Nhấn giữ Main lần 1 trong bài học</t>
  </si>
  <si>
    <t>1. Nhấn giữ Main
2. Quan sát ghi âm và audio</t>
  </si>
  <si>
    <t>Long press #1</t>
  </si>
  <si>
    <t>Bài học và ghi âm dừng; ứng dụng nói “Đã dừng”; không gửi bản ghi dở lên backend.</t>
  </si>
  <si>
    <t>TC-011</t>
  </si>
  <si>
    <t>Nhấn giữ Main lần 2 để tiếp tục</t>
  </si>
  <si>
    <t>1. Nhấn giữ Main lần nữa
2. Chờ phản hồi
3. Quan sát micro</t>
  </si>
  <si>
    <t>Long press #2</t>
  </si>
  <si>
    <t>Ứng dụng nói “Cùng học tiếp nhé” và tự động mở một lượt ghi âm mới.</t>
  </si>
  <si>
    <t>TC-012</t>
  </si>
  <si>
    <t>Chọn Luyện nói</t>
  </si>
  <si>
    <t>1. Nhấn Main
2. Nói Con muốn luyện nói</t>
  </si>
  <si>
    <t>Con muốn luyện nói</t>
  </si>
  <si>
    <t>Mở đúng luồng Luyện nói; Bi cô nói “Bắt đầu nói đi con”.</t>
  </si>
  <si>
    <t>TC-013</t>
  </si>
  <si>
    <t>Chọn Học chủ đề</t>
  </si>
  <si>
    <t>1. Nhấn Main
2. Nói Con muốn học theo chủ đề</t>
  </si>
  <si>
    <t>Con muốn học theo chủ đề</t>
  </si>
  <si>
    <t>Bi cô hỏi tuổi và tiếp tục nghe sau tiếng tít.</t>
  </si>
  <si>
    <t>TC-014</t>
  </si>
  <si>
    <t>Chọn Từ vựng</t>
  </si>
  <si>
    <t>1. Nhấn Main
2. Nói Con muốn học từ vựng</t>
  </si>
  <si>
    <t>Con muốn học từ vựng</t>
  </si>
  <si>
    <t>Điều hướng đúng trang Từ vựng; không mở Luyện nói hoặc Chủ đề.</t>
  </si>
  <si>
    <t>TC-015</t>
  </si>
  <si>
    <t>Chọn Dịch tiếng Anh</t>
  </si>
  <si>
    <t>1. Nhấn Main
2. Nói Con muốn dịch sang tiếng Anh</t>
  </si>
  <si>
    <t>Con muốn dịch sang tiếng Anh</t>
  </si>
  <si>
    <t>Bi cô hỏi chọn Dịch một câu hay Dịch liên tục.</t>
  </si>
  <si>
    <t>TC-016</t>
  </si>
  <si>
    <t>Câu lệnh không dấu</t>
  </si>
  <si>
    <t>1. Nhấn Main
2. Nói câu không dấu qua nguồn ASR giả lập</t>
  </si>
  <si>
    <t>con muon hoc chu de</t>
  </si>
  <si>
    <t>Ý định được nhận diện giống câu có dấu.</t>
  </si>
  <si>
    <t>TC-020</t>
  </si>
  <si>
    <t>Số lượng chủ đề khớp nhóm tuổi</t>
  </si>
  <si>
    <t>1. Nghe câu hỏi chọn chủ đề
2. Đối chiếu danh sách UI</t>
  </si>
  <si>
    <t>N = số chủ đề nhóm tuổi</t>
  </si>
  <si>
    <t>Số N Bi cô nói bằng đúng số chủ đề đang hiển thị.</t>
  </si>
  <si>
    <t>TC-021</t>
  </si>
  <si>
    <t>Chọn chủ đề hợp lệ bằng số</t>
  </si>
  <si>
    <t>1. Nói Con chọn chủ đề số 3</t>
  </si>
  <si>
    <t>Chủ đề số 3</t>
  </si>
  <si>
    <t>Mở đúng chủ đề số 3 và đọc đúng số bài học.</t>
  </si>
  <si>
    <t>TC-022</t>
  </si>
  <si>
    <t>Chọn số chủ đề vượt phạm vi</t>
  </si>
  <si>
    <t>1. Nói Chủ đề số 99</t>
  </si>
  <si>
    <t>99</t>
  </si>
  <si>
    <t>Không điều hướng; Bi cô nêu phạm vi hợp lệ và tiếp tục nghe.</t>
  </si>
  <si>
    <t>TC-023</t>
  </si>
  <si>
    <t>Số lượng bài khớp nội dung chủ đề</t>
  </si>
  <si>
    <t>1. Nghe câu hỏi chọn bài
2. Đối chiếu danh sách bài</t>
  </si>
  <si>
    <t>M = số bài</t>
  </si>
  <si>
    <t>Số bài Bi cô nói khớp dữ liệu chủ đề.</t>
  </si>
  <si>
    <t>TC-024</t>
  </si>
  <si>
    <t>Chọn bài hợp lệ</t>
  </si>
  <si>
    <t>1. Nói Con học bài số 1</t>
  </si>
  <si>
    <t>Bài số 1</t>
  </si>
  <si>
    <t>Bi cô nói “Bắt đầu học thôi con”; sau đó mở đúng bài số 1.</t>
  </si>
  <si>
    <t>TC-025</t>
  </si>
  <si>
    <t>Chọn bài vượt phạm vi</t>
  </si>
  <si>
    <t>1. Nói Bài số 10 khi chủ đề có 2 bài</t>
  </si>
  <si>
    <t>10</t>
  </si>
  <si>
    <t>Không mở bài sai; Bi cô nêu phạm vi bài hợp lệ.</t>
  </si>
  <si>
    <t>TC-026</t>
  </si>
  <si>
    <t>Nói đồng thời chủ đề và bài</t>
  </si>
  <si>
    <t>1. Kích hoạt trợ lý
2. Nói Học chủ đề số 3 bài số 1</t>
  </si>
  <si>
    <t>Chủ đề 3, bài 1</t>
  </si>
  <si>
    <t>Mở đúng chủ đề và bài tương ứng hoặc dẫn dắt không mất ngữ cảnh.</t>
  </si>
  <si>
    <t>TC-028</t>
  </si>
  <si>
    <t>Mất mạng khi đang tải nội dung chủ đề</t>
  </si>
  <si>
    <t>1. Tắt mạng
2. Chọn chủ đề</t>
  </si>
  <si>
    <t>Offline during load</t>
  </si>
  <si>
    <t>Không crash; Bi cô báo chưa tải được và kết thúc/cho thử lại rõ ràng.</t>
  </si>
  <si>
    <t>TC-029</t>
  </si>
  <si>
    <t>Vào Luyện nói từ Main</t>
  </si>
  <si>
    <t>1. Nhấn Main
2. Chọn Luyện nói</t>
  </si>
  <si>
    <t>Bi cô nói “Bắt đầu nói đi con”; phát beep; chuẩn bị micro.</t>
  </si>
  <si>
    <t>TC-030</t>
  </si>
  <si>
    <t>Micro tự mở cho câu đầu</t>
  </si>
  <si>
    <t>1. Chờ Bi cô và beep
2. Quan sát trạng thái micro</t>
  </si>
  <si>
    <t>Không nhấn thêm</t>
  </si>
  <si>
    <t>Micro tự mở đúng một lần; không cần nhấn nút Nói của tính năng cũ.</t>
  </si>
  <si>
    <t>TC-031</t>
  </si>
  <si>
    <t>Tự động dừng khi trẻ nói xong</t>
  </si>
  <si>
    <t>1. Nói một câu
2. Dừng nói</t>
  </si>
  <si>
    <t>Con muốn uống nước</t>
  </si>
  <si>
    <t>Ứng dụng tự kết thúc ghi âm sau khoảng lặng; không cần nhấn Main để dừng câu.</t>
  </si>
  <si>
    <t>TC-032</t>
  </si>
  <si>
    <t>Hiển thị câu gốc và câu dịch</t>
  </si>
  <si>
    <t>1. Chờ xử lý hoàn tất
2. Kiểm tra kết quả</t>
  </si>
  <si>
    <t>Hiển thị đúng câu tiếng Việt và bản dịch tiếng Anh; không đảo ngôn ngữ.</t>
  </si>
  <si>
    <t>TC-033</t>
  </si>
  <si>
    <t>Phát audio câu kết quả</t>
  </si>
  <si>
    <t>1. Nghe audio tự phát
2. Bấm nghe lại nếu có</t>
  </si>
  <si>
    <t>I want to drink water.</t>
  </si>
  <si>
    <t>Audio tiếng Anh phát rõ; nội dung khớp câu dịch; không phát chồng TTS khác.</t>
  </si>
  <si>
    <t>TC-034</t>
  </si>
  <si>
    <t>Tự tạo lượt nói mới sau audio</t>
  </si>
  <si>
    <t>1. Chờ beep
2. Nói câu tiếp theo</t>
  </si>
  <si>
    <t>Câu thứ hai</t>
  </si>
  <si>
    <t>Micro tự mở lại sau beep; câu thứ hai tạo kết quả riêng, không nối vào câu trước.</t>
  </si>
  <si>
    <t>TC-035</t>
  </si>
  <si>
    <t>Im lặng 10 giây ở trạng thái sẵn sàng</t>
  </si>
  <si>
    <t>1. Không nói trong 10 giây</t>
  </si>
  <si>
    <t>Silence 10s</t>
  </si>
  <si>
    <t>Ứng dụng nói “Tạm biệt con nhé”, thoát Luyện nói và trả Main về trạng thái ban đầu.</t>
  </si>
  <si>
    <t>TC-036</t>
  </si>
  <si>
    <t>Nói Còn cái gì khác để học không</t>
  </si>
  <si>
    <t>1. Nói Còn cái gì khác để học không</t>
  </si>
  <si>
    <t>Câu chuyển chức năng</t>
  </si>
  <si>
    <t>Không dịch câu này; thoát Luyện nói và mở menu Chủ đề/Từ vựng/Dịch.</t>
  </si>
  <si>
    <t>TC-037</t>
  </si>
  <si>
    <t>Chọn Chủ đề từ menu học khác</t>
  </si>
  <si>
    <t>1. Nói Học theo chủ đề</t>
  </si>
  <si>
    <t>Học theo chủ đề</t>
  </si>
  <si>
    <t>Bắt đầu luồng hỏi tuổi; không quay lại dịch câu.</t>
  </si>
  <si>
    <t>TC-038</t>
  </si>
  <si>
    <t>Im lặng không gây lỗi thiếu metadata PCM</t>
  </si>
  <si>
    <t>1. Mở micro
2. Im lặng đến khi timeout</t>
  </si>
  <si>
    <t>No PCM speech frames</t>
  </si>
  <si>
    <t>Không hiển thị lỗi “Thiếu metadata PCM khi finalize Batch Chunks”; kết thúc thân thiện.</t>
  </si>
  <si>
    <t>TC-039</t>
  </si>
  <si>
    <t>Không kết nối được backend</t>
  </si>
  <si>
    <t>1. Bắt đầu một lượt nói
2. Chờ xử lý</t>
  </si>
  <si>
    <t>Connection refused/timeout</t>
  </si>
  <si>
    <t>Không hiển thị SocketException hoặc 127.0.0.1; có thông báo thân thiện.</t>
  </si>
  <si>
    <t>TC-040</t>
  </si>
  <si>
    <t>Không thu lại audio kết quả</t>
  </si>
  <si>
    <t>1. Nói một câu
2. Để audio kết quả phát
3. Không nói thêm</t>
  </si>
  <si>
    <t>Speaker feedback</t>
  </si>
  <si>
    <t>Audio của ứng dụng không bị ghi thành lượt nói tiếp theo.</t>
  </si>
  <si>
    <t>TC-041</t>
  </si>
  <si>
    <t>Chọn Dịch một câu</t>
  </si>
  <si>
    <t>1. Nhấn Main
2. Chọn Dịch
3. Nói Dịch một câu</t>
  </si>
  <si>
    <t>Dịch một câu</t>
  </si>
  <si>
    <t>Bi cô hướng dẫn nói một câu và mở micro sau beep.</t>
  </si>
  <si>
    <t>TC-042</t>
  </si>
  <si>
    <t>Dịch câu tiếng Việt hợp lệ</t>
  </si>
  <si>
    <t>1. Nói Hôm nay con đi học
2. Chờ kết quả</t>
  </si>
  <si>
    <t>Hôm nay con đi học</t>
  </si>
  <si>
    <t>Bản dịch tiếng Anh đúng nghĩa; hiển thị và phát audio một lần.</t>
  </si>
  <si>
    <t>TC-043</t>
  </si>
  <si>
    <t>Câu có tên riêng và dấu câu</t>
  </si>
  <si>
    <t>1. Nói Xin chào, con là An
2. Kiểm tra kết quả</t>
  </si>
  <si>
    <t>Xin chào, con là An.</t>
  </si>
  <si>
    <t>Giữ đúng tên An và ngữ nghĩa; không dịch sai tên riêng.</t>
  </si>
  <si>
    <t>TC-044</t>
  </si>
  <si>
    <t>Câu dài gần giới hạn ghi âm</t>
  </si>
  <si>
    <t>1. Nói liên tục một câu dài nhưng rõ
2. Chờ xử lý</t>
  </si>
  <si>
    <t>10–15 giây giọng nói</t>
  </si>
  <si>
    <t>Ứng dụng dừng an toàn, gửi đủ audio và hiển thị một kết quả hoàn chỉnh.</t>
  </si>
  <si>
    <t>TC-045</t>
  </si>
  <si>
    <t>Im lặng</t>
  </si>
  <si>
    <t>1. Không nói sau beep</t>
  </si>
  <si>
    <t>Silence</t>
  </si>
  <si>
    <t>Không gửi audio rỗng; không báo metadata PCM; hướng dẫn nói lại hoặc kết thúc.</t>
  </si>
  <si>
    <t>TC-046</t>
  </si>
  <si>
    <t>Dịch hai câu liên tiếp</t>
  </si>
  <si>
    <t>1. Nói câu 1
2. Chờ audio
3. Nói câu 2 sau beep</t>
  </si>
  <si>
    <t>Hai câu khác nhau</t>
  </si>
  <si>
    <t>Tạo hai kết quả độc lập theo đúng thứ tự; micro tự chuẩn bị giữa các lượt.</t>
  </si>
  <si>
    <t>TC-047</t>
  </si>
  <si>
    <t>Mất mạng trong lúc upload</t>
  </si>
  <si>
    <t>1. Bắt đầu nói
2. Ngắt mạng khi đang xử lý</t>
  </si>
  <si>
    <t>Network interrupted</t>
  </si>
  <si>
    <t>Không treo vô hạn; phiên được hủy/đánh dấu lỗi; có thể thử lại sau khi có mạng.</t>
  </si>
  <si>
    <t>TC-048</t>
  </si>
  <si>
    <t>Hiển thị đúng nhóm tuổi theo cấu hình trẻ</t>
  </si>
  <si>
    <t>1. Mở Chủ đề
2. Đối chiếu tab tuổi đang chọn</t>
  </si>
  <si>
    <t>Tuổi 4, 6, 9, 12, 14</t>
  </si>
  <si>
    <t>Mỗi tuổi chọn đúng nhóm 3–5, 6–7, 8–10, 11–12, 13–15.</t>
  </si>
  <si>
    <t>TC-049</t>
  </si>
  <si>
    <t>AI mở đúng thẻ chủ đề đã chọn</t>
  </si>
  <si>
    <t>1. Chọn chủ đề số 3 bằng giọng nói
2. Quan sát trang mở</t>
  </si>
  <si>
    <t>Chủ đề 3</t>
  </si>
  <si>
    <t>Tên, số thứ tự và danh sách bài thuộc đúng chủ đề 3.</t>
  </si>
  <si>
    <t>TC-050</t>
  </si>
  <si>
    <t>AI mở đúng bài và màn lời mở đầu</t>
  </si>
  <si>
    <t>1. Nói Bài số 1
2. Chờ Bi cô kết thúc
3. Quan sát màn tiếp theo</t>
  </si>
  <si>
    <t>Bài 1</t>
  </si>
  <si>
    <t>Mở LessonIntroScreen của bài 1; không bỏ qua thẳng vào luyện câu.</t>
  </si>
  <si>
    <t>TC-051</t>
  </si>
  <si>
    <t>Lời mở đầu sử dụng introAudioUrl</t>
  </si>
  <si>
    <t>1. Điều hướng bằng Bi cô đến My Name
2. Theo dõi URL/audio phát</t>
  </si>
  <si>
    <t>A067_T01_L01_OPEN.mp3</t>
  </si>
  <si>
    <t>Media player phát đúng introAudioUrl; nội dung nghe là file audio đã thu.</t>
  </si>
  <si>
    <t>TC-052</t>
  </si>
  <si>
    <t>Không dùng TTS của Bi cô thay lời mở đầu</t>
  </si>
  <si>
    <t>1. Mở bài bằng AI
2. Phân biệt giọng audio và TTS
3. Theo dõi log gọi TTS nếu có</t>
  </si>
  <si>
    <t>My Name</t>
  </si>
  <si>
    <t>Sau câu “Bắt đầu học thôi con”, lời mở đầu không gọi speakAndWait/TTS.</t>
  </si>
  <si>
    <t>TC-053</t>
  </si>
  <si>
    <t>Tự vào phần luyện sau khi intro audio kết thúc</t>
  </si>
  <si>
    <t>1. Mở bài
2. Không bấm Bỏ qua
3. Chờ audio kết thúc</t>
  </si>
  <si>
    <t>Audio intro hợp lệ</t>
  </si>
  <si>
    <t>Tự chuyển đúng một lần sang màn bài học; không dừng ở loading.</t>
  </si>
  <si>
    <t>TC-054</t>
  </si>
  <si>
    <t>introAudioUrl rỗng</t>
  </si>
  <si>
    <t>1. Mở bài
2. Quan sát trạng thái</t>
  </si>
  <si>
    <t>null</t>
  </si>
  <si>
    <t>Không dùng TTS; hiển thị “Không thể phát lời mở đầu” và cho phép Bỏ qua.</t>
  </si>
  <si>
    <t>TC-055</t>
  </si>
  <si>
    <t>Bài hát tuổi 6+ mở karaoke sau intro</t>
  </si>
  <si>
    <t>1. Mở bài hát
2. Chờ intro kết thúc
3. Chờ đếm ngược 3 giây</t>
  </si>
  <si>
    <t>Song lesson age 6+</t>
  </si>
  <si>
    <t>Mở karaoke; bài hát tự phát sau 3 giây; lời chạy đúng timeline.</t>
  </si>
  <si>
    <t>TC-056</t>
  </si>
  <si>
    <t>Nhóm 3–5 giữ luồng luyện câu cho bài hát</t>
  </si>
  <si>
    <t>1. Mở bài hát
2. Chờ intro</t>
  </si>
  <si>
    <t>Song lesson age 3–5</t>
  </si>
  <si>
    <t>Không mở karaoke dành cho trẻ lớn; đi vào luồng luyện từng câu hiện có.</t>
  </si>
  <si>
    <t>TC-057</t>
  </si>
  <si>
    <t>Tự phát câu tiếng Anh hiện tại</t>
  </si>
  <si>
    <t>1. Vào một câu mới
2. Nghe audio mẫu</t>
  </si>
  <si>
    <t>Sentence audio URL</t>
  </si>
  <si>
    <t>Audio tiếng Anh đúng câu và chỉ phát một lần trước khi mời ghi âm.</t>
  </si>
  <si>
    <t>TC-058</t>
  </si>
  <si>
    <t>Nút nghe tiếng Việt phát đúng audio</t>
  </si>
  <si>
    <t>1. Bấm Nghe tiếng Việt
2. Đối chiếu nội dung</t>
  </si>
  <si>
    <t>Vietnamese audio URL</t>
  </si>
  <si>
    <t>Phát đúng câu tiếng Việt; không đổi tiến độ hoặc mở micro ngoài ý muốn.</t>
  </si>
  <si>
    <t>TC-059</t>
  </si>
  <si>
    <t>Beep phát trước khi bắt đầu ghi âm</t>
  </si>
  <si>
    <t>1. Chờ lời hướng dẫn kết thúc
2. Nghe beep
3. Quan sát micro</t>
  </si>
  <si>
    <t>Ready cue</t>
  </si>
  <si>
    <t>Beep phát đúng một lần; micro bắt đầu sau beep, không thu đuôi audio mẫu.</t>
  </si>
  <si>
    <t>TC-060</t>
  </si>
  <si>
    <t>Nói đúng từ Hello</t>
  </si>
  <si>
    <t>1. Nói Hello rõ ràng
2. Chờ đánh giá</t>
  </si>
  <si>
    <t>Hello</t>
  </si>
  <si>
    <t>Được đánh giá đúng; phát “Con làm tốt lắm”; chuyển câu tiếp.</t>
  </si>
  <si>
    <t>TC-061</t>
  </si>
  <si>
    <t>Nói đúng I'm An dù ngữ điệu khác</t>
  </si>
  <si>
    <t>1. Nói I'm An với ngữ điệu khác mẫu
2. Chờ đánh giá</t>
  </si>
  <si>
    <t>I'm An / I am An</t>
  </si>
  <si>
    <t>So khớp nội dung chữ; không bắt buộc ngữ điệu; phát chúc mừng.</t>
  </si>
  <si>
    <t>TC-062</t>
  </si>
  <si>
    <t>Không phân biệt hoa thường và dấu câu</t>
  </si>
  <si>
    <t>1. Nói hello
2. Chờ đánh giá</t>
  </si>
  <si>
    <t>hello vs Hello!</t>
  </si>
  <si>
    <t>Được coi là đúng sau chuẩn hóa; không yêu cầu nói lại.</t>
  </si>
  <si>
    <t>TC-063</t>
  </si>
  <si>
    <t>Nói câu tiếng Việt không liên quan</t>
  </si>
  <si>
    <t>1. Nói Con muốn ăn cơm
2. Chờ đánh giá</t>
  </si>
  <si>
    <t>Đánh giá sai; nói “Con tập trung học đi”; không phát chúc mừng.</t>
  </si>
  <si>
    <t>TC-064</t>
  </si>
  <si>
    <t>Audio im lặng hoặc không đủ dữ liệu</t>
  </si>
  <si>
    <t>1. Im lặng hoặc tạo audio rất ngắn
2. Chờ đánh giá</t>
  </si>
  <si>
    <t>Silence/unclear</t>
  </si>
  <si>
    <t>Phân loại Không rõ, không coi là sai; hướng dẫn thử lại; không lưu Luyện lại do câu sai.</t>
  </si>
  <si>
    <t>TC-065</t>
  </si>
  <si>
    <t>Sai lần đầu tự mở micro lại</t>
  </si>
  <si>
    <t>1. Nói sai
2. Nghe phản hồi
3. Quan sát micro</t>
  </si>
  <si>
    <t>Wrong attempt #1</t>
  </si>
  <si>
    <t>Lưu câu vào Luyện lại; phát “Con tập trung học đi”; beep và tự mở lượt ghi mới.</t>
  </si>
  <si>
    <t>TC-066</t>
  </si>
  <si>
    <t>Sai lần thứ hai chuyển câu khác</t>
  </si>
  <si>
    <t>1. Nói sai lần 2
2. Nghe phản hồi</t>
  </si>
  <si>
    <t>Wrong attempt #2</t>
  </si>
  <si>
    <t>Nói “Mình cùng học câu khác nhé!” và chuyển sang câu tiếp theo, không lặp vô hạn.</t>
  </si>
  <si>
    <t>TC-067</t>
  </si>
  <si>
    <t>Câu đúng được lưu vào Ngôi sao</t>
  </si>
  <si>
    <t>1. Nói đúng
2. Mở Từ vựng → Ngôi sao</t>
  </si>
  <si>
    <t>Expected English</t>
  </si>
  <si>
    <t>Câu xuất hiện một lần trong Ngôi sao với tiếng Anh/Việt đúng.</t>
  </si>
  <si>
    <t>TC-068</t>
  </si>
  <si>
    <t>Câu sai được lưu vào Luyện lại</t>
  </si>
  <si>
    <t>1. Nói sai lần đầu
2. Mở Từ vựng → Luyện lại</t>
  </si>
  <si>
    <t>Wrong English/Vietnamese</t>
  </si>
  <si>
    <t>Câu cần học xuất hiện một lần trong Luyện lại; không lưu câu trẻ nói sai làm nội dung học.</t>
  </si>
  <si>
    <t>TC-069</t>
  </si>
  <si>
    <t>Câu Luyện lại nói đúng ở lần sau</t>
  </si>
  <si>
    <t>1. Học lại câu
2. Nói đúng
3. Mở hai bộ sưu tập</t>
  </si>
  <si>
    <t>Retry then correct</t>
  </si>
  <si>
    <t>Câu được đánh dấu thành công/đưa vào Ngôi sao; không tạo bản ghi trùng.</t>
  </si>
  <si>
    <t>TC-070</t>
  </si>
  <si>
    <t>Tiếp tục sau pause và nói đúng</t>
  </si>
  <si>
    <t>1. Nhấn giữ Main lần 2
2. Nói đúng khi micro tự mở</t>
  </si>
  <si>
    <t>Resume + correct</t>
  </si>
  <si>
    <t>Tạo lượt ghi mới; câu đúng được chúc mừng, không bị kết quả cũ ghi đè.</t>
  </si>
  <si>
    <t>TC-071</t>
  </si>
  <si>
    <t>Kết quả backend cũ về sau khi pause</t>
  </si>
  <si>
    <t>1. Gửi lượt ghi
2. Pause trước khi response về
3. Cho response cũ trả về</t>
  </si>
  <si>
    <t>Delayed evaluation</t>
  </si>
  <si>
    <t>Response cũ bị bỏ qua; không phát chúc mừng/nhắc sai sau khi đã pause.</t>
  </si>
  <si>
    <t>TC-072</t>
  </si>
  <si>
    <t>Một chạm Main hỏi có học nữa không</t>
  </si>
  <si>
    <t>1. Chạm Main một lần
2. Nghe phản hồi và beep</t>
  </si>
  <si>
    <t>Dừng luồng hiện tại an toàn; Bi cô hỏi “Con có muốn học nữa không?” rồi nghe Có/Không.</t>
  </si>
  <si>
    <t>TC-073</t>
  </si>
  <si>
    <t>Trả lời Có để tiếp tục học</t>
  </si>
  <si>
    <t>1. Nói Có hoặc Dạ có</t>
  </si>
  <si>
    <t>Có; Dạ có</t>
  </si>
  <si>
    <t>Bi cô nói “Tiếp tục học nhé con”; tự mở lượt ghi mới.</t>
  </si>
  <si>
    <t>TC-074</t>
  </si>
  <si>
    <t>Trả lời Không để thoát</t>
  </si>
  <si>
    <t>1. Nói Không hoặc Dạ không</t>
  </si>
  <si>
    <t>Không; Dạ không</t>
  </si>
  <si>
    <t>Bi cô nói “Tạm biệt con”; dừng audio/micro và quay về trang chủ.</t>
  </si>
  <si>
    <t>TC-075</t>
  </si>
  <si>
    <t>Phát lại bản ghi của trẻ</t>
  </si>
  <si>
    <t>1. Bấm phát bản ghi
2. Nghe hết audio</t>
  </si>
  <si>
    <t>Recorded child audio</t>
  </si>
  <si>
    <t>Phát đúng bản ghi hiện tại; thời lượng hiển thị hợp lý; không kích hoạt đánh giá lại.</t>
  </si>
  <si>
    <t>TC-076</t>
  </si>
  <si>
    <t>Nói Học lại</t>
  </si>
  <si>
    <t>1. Nói Học lại
2. Quan sát bài</t>
  </si>
  <si>
    <t>Học lại; Làm lại</t>
  </si>
  <si>
    <t>Bắt đầu lại từ câu 1; không nhân đôi tiến độ hoặc từ vựng.</t>
  </si>
  <si>
    <t>TC-077</t>
  </si>
  <si>
    <t>Nói Bài tiếp theo khi còn bài</t>
  </si>
  <si>
    <t>1. Nói Bài tiếp theo</t>
  </si>
  <si>
    <t>Bài tiếp theo</t>
  </si>
  <si>
    <t>Mở lời mở đầu bài kế tiếp, sau đó phát introAudioUrl của bài đó.</t>
  </si>
  <si>
    <t>TC-078</t>
  </si>
  <si>
    <t>Lựa chọn cuối bài không rõ</t>
  </si>
  <si>
    <t>1. Nói câu không liên quan</t>
  </si>
  <si>
    <t>Con thích màu xanh</t>
  </si>
  <si>
    <t>Bi cô nói “Nói lại lựa chọn của con nhé”; tiếp tục nghe; không tự chuyển bài.</t>
  </si>
  <si>
    <t>TC-079</t>
  </si>
  <si>
    <t>Bài cuối thông báo hoàn thành</t>
  </si>
  <si>
    <t>1. Chọn Bài tiếp theo sau khi hoàn thành
2. Nghe phản hồi</t>
  </si>
  <si>
    <t>Final lesson</t>
  </si>
  <si>
    <t>Thông báo hoàn thành chủ đề; quay về danh sách chủ đề.</t>
  </si>
  <si>
    <t>TC-080</t>
  </si>
  <si>
    <t>Chọn chủ đề hoàn thành</t>
  </si>
  <si>
    <t>1. Nói số chủ đề đã học</t>
  </si>
  <si>
    <t>Completed topic N</t>
  </si>
  <si>
    <t>Bi cô hỏi “Chủ đề số N con đã học rồi. Con có muốn học lại không?”</t>
  </si>
  <si>
    <t>TC-081</t>
  </si>
  <si>
    <t>Trả lời Có</t>
  </si>
  <si>
    <t>1. Nói Có/Dạ có/Con muốn học lại</t>
  </si>
  <si>
    <t>Có; Dạ có; Con muốn học lại</t>
  </si>
  <si>
    <t>Mở đúng chủ đề cũ; Bi cô hỏi số bài học và mở bài được chọn.</t>
  </si>
  <si>
    <t>TC-082</t>
  </si>
  <si>
    <t>Trả lời Không</t>
  </si>
  <si>
    <t>1. Nói Không/Dạ không</t>
  </si>
  <si>
    <t>Không mở chủ đề; Bi cô lặp câu “Có N chủ đề. Con muốn học chủ đề số mấy”.</t>
  </si>
  <si>
    <t>TC-083</t>
  </si>
  <si>
    <t>Chọn chủ đề chưa hoàn thành</t>
  </si>
  <si>
    <t>1. Nói số chủ đề chưa học</t>
  </si>
  <si>
    <t>Unfinished topic</t>
  </si>
  <si>
    <t>Mở trực tiếp chủ đề và hỏi số bài; không hỏi xác nhận học lại.</t>
  </si>
  <si>
    <t>TC-084</t>
  </si>
  <si>
    <t>Hoàn thành lại một chủ đề đã học</t>
  </si>
  <si>
    <t>1. Học tới bài cuối
2. Chọn Bài tiếp theo</t>
  </si>
  <si>
    <t>Replay completed topic</t>
  </si>
  <si>
    <t>Vẫn kích hoạt luồng chọn N chủ đề; không bị bỏ qua vì tiến độ đã hoàn thành trước đó.</t>
  </si>
  <si>
    <t>TC-085</t>
  </si>
  <si>
    <t>Chọn số chủ đề ngoài phạm vi sau hoàn thành</t>
  </si>
  <si>
    <t>Bi cô nêu phạm vi hợp lệ và tiếp tục nghe; không thoát luồng.</t>
  </si>
  <si>
    <t>TC-086</t>
  </si>
  <si>
    <t>Prompt N chủ đề không bị màn bài cũ dừng</t>
  </si>
  <si>
    <t>1. Chọn Bài tiếp theo
2. Theo dõi toàn bộ lúc pop route</t>
  </si>
  <si>
    <t>Route transition</t>
  </si>
  <si>
    <t>Câu hỏi N chủ đề phát đầy đủ; trạng thái “Bi cô đang nói” kết thúc; beep và micro hoạt động.</t>
  </si>
  <si>
    <t>TC-087</t>
  </si>
  <si>
    <t>Mở Từ vựng bằng Main</t>
  </si>
  <si>
    <t>1. Nhấn Main
2. Nói Học từ vựng</t>
  </si>
  <si>
    <t>Học từ vựng</t>
  </si>
  <si>
    <t>Mở trang Từ vựng; hiển thị các hành trình Gia đình/Ngôi sao/Luyện lại theo thiết kế hiện tại.</t>
  </si>
  <si>
    <t>TC-088</t>
  </si>
  <si>
    <t>Thêm một từ/câu thủ công</t>
  </si>
  <si>
    <t>1. Bấm dấu +
2. Nhập tiếng Anh và tiếng Việt
3. Lưu</t>
  </si>
  <si>
    <t>Family / Gia đình</t>
  </si>
  <si>
    <t>Lưu thành công; xuất hiện trong danh sách; dữ liệu giữ đúng dấu tiếng Việt.</t>
  </si>
  <si>
    <t>TC-089</t>
  </si>
  <si>
    <t>Nghe phát âm từ/câu</t>
  </si>
  <si>
    <t>1. Bấm biểu tượng loa</t>
  </si>
  <si>
    <t>Saved vocabulary</t>
  </si>
  <si>
    <t>Phát đúng tiếng Anh; không mở micro hoặc thay đổi bộ sưu tập.</t>
  </si>
  <si>
    <t>TC-090</t>
  </si>
  <si>
    <t>Hiển thị câu học đúng</t>
  </si>
  <si>
    <t>1. Mở Ngôi sao
2. Đối chiếu bài học</t>
  </si>
  <si>
    <t>Star entry</t>
  </si>
  <si>
    <t>Câu đúng xuất hiện, không trùng, có bản dịch và audio phù hợp.</t>
  </si>
  <si>
    <t>TC-091</t>
  </si>
  <si>
    <t>Hiển thị câu nói sai</t>
  </si>
  <si>
    <t>1. Mở Luyện lại
2. Đối chiếu câu học</t>
  </si>
  <si>
    <t>Review entry</t>
  </si>
  <si>
    <t>Hiển thị câu mục tiêu cần luyện, không lưu nguyên câu sai của trẻ.</t>
  </si>
  <si>
    <t>TC-092</t>
  </si>
  <si>
    <t>Số đếm cập nhật ngay sau khi bài học lưu câu</t>
  </si>
  <si>
    <t>1. Quay lại bài và nói đúng/sai
2. Trở lại Từ vựng</t>
  </si>
  <si>
    <t>New star/review</t>
  </si>
  <si>
    <t>Số lượng trên thẻ cập nhật không cần khởi động lại ứng dụng.</t>
  </si>
  <si>
    <t>TC-093</t>
  </si>
  <si>
    <t>Dữ liệu tồn tại sau khởi động lại</t>
  </si>
  <si>
    <t>1. Đóng hoàn toàn ứng dụng
2. Mở lại
3. Mở Từ vựng</t>
  </si>
  <si>
    <t>Persisted data</t>
  </si>
  <si>
    <t>Các mục Gia đình/Ngôi sao/Luyện lại và số lượng vẫn chính xác.</t>
  </si>
  <si>
    <t>TC-094</t>
  </si>
  <si>
    <t>Mở kiểm tra phản ứng H20 offline</t>
  </si>
  <si>
    <t>1. Mở khu vực kiểm tra H20
2. Quan sát trạng thái BLE/HFP/SCO/MAIN</t>
  </si>
  <si>
    <t>H20 diagnostics</t>
  </si>
  <si>
    <t>Các trạng thái hiển thị riêng biệt, dễ hiểu; chưa kết nối không bị báo thành đã kết nối.</t>
  </si>
  <si>
    <t>TC-095</t>
  </si>
  <si>
    <t>Test loa không gọi cloud</t>
  </si>
  <si>
    <t>1. Bấm Test loa offline
2. Theo dõi network và âm thanh</t>
  </si>
  <si>
    <t>Bundled audio asset</t>
  </si>
  <si>
    <t>Phát audio đóng gói trong APK; không gửi request backend.</t>
  </si>
  <si>
    <t>TC-096</t>
  </si>
  <si>
    <t>Ghi thử tối đa 5 giây</t>
  </si>
  <si>
    <t>1. Bấm Thu thử
2. Nói
3. Chờ 5 giây</t>
  </si>
  <si>
    <t>5-second capture</t>
  </si>
  <si>
    <t>Ghi dừng đúng giới hạn; UI không treo; có phản hồi kiểm tra cục bộ.</t>
  </si>
  <si>
    <t>Tách riêng Button Main, luồng sau Main và các tính năng độc lập. Dùng bộ lọc tại hàng tiêu đề để tạo test suite theo phạm vi.</t>
  </si>
  <si>
    <t>Nhóm chức năng</t>
  </si>
  <si>
    <t>Loại kiểm thử</t>
  </si>
  <si>
    <t>Ưu tiên</t>
  </si>
  <si>
    <t>Button Main &amp; Trợ lý Bi cô</t>
  </si>
  <si>
    <t>UI / Hiển thị</t>
  </si>
  <si>
    <t>P1 - High</t>
  </si>
  <si>
    <t>Audio / TTS</t>
  </si>
  <si>
    <t>P0 - Critical</t>
  </si>
  <si>
    <t>Giọng nói / ASR</t>
  </si>
  <si>
    <t>Trạng thái / Đồng bộ</t>
  </si>
  <si>
    <t>Ngoại lệ / Phục hồi</t>
  </si>
  <si>
    <t>Điều hướng</t>
  </si>
  <si>
    <t>P2 - Medium</t>
  </si>
  <si>
    <t>Điều hướng học chủ đề</t>
  </si>
  <si>
    <t>Luyện nói</t>
  </si>
  <si>
    <t>Chức năng</t>
  </si>
  <si>
    <t>Dịch tiếng Anh</t>
  </si>
  <si>
    <t>Chủ đề &amp; lời mở đầu</t>
  </si>
  <si>
    <t>Bài học &amp; đánh giá câu nói</t>
  </si>
  <si>
    <t>Dữ liệu / Lưu trữ</t>
  </si>
  <si>
    <t>Button Main trong bài học</t>
  </si>
  <si>
    <t>Cuối bài &amp; học lại chủ đề</t>
  </si>
  <si>
    <t>Từ vựng</t>
  </si>
  <si>
    <t>H20 &amp; phần cứng</t>
  </si>
  <si>
    <t>Phần cứng / Offline</t>
  </si>
  <si>
    <t xml:space="preserve">INNOTRIK — TEST CASE </t>
  </si>
  <si>
    <t>Nhóm tuổi</t>
  </si>
  <si>
    <t>3–5</t>
  </si>
  <si>
    <t>6–7</t>
  </si>
  <si>
    <t>8–10</t>
  </si>
  <si>
    <t>11–12</t>
  </si>
  <si>
    <t>13–15</t>
  </si>
  <si>
    <t>Âm lượng</t>
  </si>
  <si>
    <t>Bình thường</t>
  </si>
  <si>
    <t>Nhỏ</t>
  </si>
  <si>
    <t>Số trẻ</t>
  </si>
  <si>
    <t>Câu/trẻ</t>
  </si>
  <si>
    <t>Lặp/câu</t>
  </si>
  <si>
    <t>Tổng lượt nói</t>
  </si>
  <si>
    <t>Điều kiện</t>
  </si>
  <si>
    <t>Nói chậm</t>
  </si>
  <si>
    <t>Nói nhanh</t>
  </si>
  <si>
    <t>Nói ngắt quãng</t>
  </si>
  <si>
    <t>Nói bình thường</t>
  </si>
  <si>
    <t>11–13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</si>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</sst>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8"/>
      <name val="Carlito"/>
    </font>
    <font>
      <b/>
      <sz val="17"/>
      <color rgb="FFFFFFFF"/>
      <name val="Carlito"/>
    </font>
    <font>
      <i/>
      <sz val="10"/>
      <color rgb="FF46607F"/>
      <name val="Carlito"/>
    </font>
    <font>
      <b/>
      <sz val="11"/>
      <color rgb="FFFFFFFF"/>
      <name val="Carlito"/>
    </font>
    <font>
      <sz val="10"/>
      <color rgb="FF26364A"/>
      <name val="Carlito"/>
    </font>
    <font>
      <sz val="10"/>
      <color rgb="FF14213D"/>
      <name val="Carlito"/>
    </font>
    <font>
      <b/>
      <sz val="10"/>
      <color rgb="FF14213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25B"/>
      </patternFill>
    </fill>
    <fill>
      <patternFill patternType="solid">
        <fgColor rgb="FFEAF2FF"/>
      </patternFill>
    </fill>
    <fill>
      <patternFill patternType="solid">
        <fgColor rgb="FF2F5BD3"/>
      </patternFill>
    </fill>
    <fill>
      <patternFill patternType="solid">
        <fgColor rgb="FF0F718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3" fontId="6" fillId="7" borderId="1" xfId="0" applyNumberFormat="1" applyFont="1" applyFill="1" applyBorder="1" applyAlignment="1">
      <alignment vertical="top" wrapText="1"/>
    </xf>
    <xf numFmtId="0" fontId="0" fillId="6" borderId="1" xfId="0" applyFill="1" applyBorder="1"/>
    <xf numFmtId="3" fontId="6" fillId="6" borderId="1" xfId="0" applyNumberFormat="1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3">
    <dxf>
      <font>
        <b/>
        <color rgb="FF176B3A"/>
      </font>
      <fill>
        <patternFill patternType="solid">
          <bgColor rgb="FFE7F4EA"/>
        </patternFill>
      </fill>
    </dxf>
    <dxf>
      <font>
        <b/>
        <color rgb="FF9A5B00"/>
      </font>
      <fill>
        <patternFill patternType="solid">
          <bgColor rgb="FFFFF1D6"/>
        </patternFill>
      </fill>
    </dxf>
    <dxf>
      <font>
        <b/>
        <color rgb="FFB42318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ifiedTestCases" displayName="ClassifiedTestCases" ref="A3:I94" totalsRowShown="0">
  <autoFilter ref="A3:I94" xr:uid="{00000000-0009-0000-0100-000002000000}"/>
  <tableColumns count="9">
    <tableColumn id="1" xr3:uid="{00000000-0010-0000-0100-000001000000}" name="Nhóm chức năng"/>
    <tableColumn id="3" xr3:uid="{00000000-0010-0000-0100-000003000000}" name="Loại kiểm thử"/>
    <tableColumn id="4" xr3:uid="{00000000-0010-0000-0100-000004000000}" name="Ưu tiên"/>
    <tableColumn id="5" xr3:uid="{00000000-0010-0000-0100-000005000000}" name="TC_ID"/>
    <tableColumn id="6" xr3:uid="{00000000-0010-0000-0100-000006000000}" name="Test scenario"/>
    <tableColumn id="7" xr3:uid="{00000000-0010-0000-0100-000007000000}" name="Test steps"/>
    <tableColumn id="8" xr3:uid="{00000000-0010-0000-0100-000008000000}" name="Test data"/>
    <tableColumn id="9" xr3:uid="{00000000-0010-0000-0100-000009000000}" name="Expected result"/>
    <tableColumn id="10" xr3:uid="{00000000-0010-0000-01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"/>
  <sheetViews>
    <sheetView showGridLines="0" topLeftCell="A22" workbookViewId="0">
      <selection activeCell="E27" sqref="E27"/>
    </sheetView>
  </sheetViews>
  <sheetFormatPr defaultRowHeight="13.8"/>
  <cols>
    <col min="1" max="1" width="29" customWidth="1"/>
    <col min="2" max="2" width="22" customWidth="1"/>
    <col min="3" max="3" width="14" customWidth="1"/>
    <col min="4" max="4" width="12" customWidth="1"/>
    <col min="5" max="5" width="36" customWidth="1"/>
    <col min="6" max="6" width="48" customWidth="1"/>
    <col min="7" max="7" width="25" customWidth="1"/>
    <col min="8" max="8" width="50" customWidth="1"/>
    <col min="9" max="9" width="20" customWidth="1"/>
  </cols>
  <sheetData>
    <row r="1" spans="1:9" ht="30" customHeight="1">
      <c r="A1" s="4" t="s">
        <v>480</v>
      </c>
      <c r="B1" s="4"/>
      <c r="C1" s="4"/>
      <c r="D1" s="4"/>
      <c r="E1" s="4"/>
      <c r="F1" s="4"/>
      <c r="G1" s="4"/>
      <c r="H1" s="4"/>
      <c r="I1" s="4"/>
    </row>
    <row r="2" spans="1:9" ht="25.95" customHeight="1">
      <c r="A2" s="5" t="s">
        <v>454</v>
      </c>
      <c r="B2" s="5"/>
      <c r="C2" s="5"/>
      <c r="D2" s="5"/>
      <c r="E2" s="5"/>
      <c r="F2" s="5"/>
      <c r="G2" s="5"/>
      <c r="H2" s="5"/>
      <c r="I2" s="5"/>
    </row>
    <row r="3" spans="1:9" ht="31.95" customHeight="1">
      <c r="A3" s="1" t="s">
        <v>455</v>
      </c>
      <c r="B3" s="1" t="s">
        <v>456</v>
      </c>
      <c r="C3" s="1" t="s">
        <v>457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</row>
    <row r="4" spans="1:9" ht="54" customHeight="1">
      <c r="A4" s="2" t="s">
        <v>458</v>
      </c>
      <c r="B4" s="2" t="s">
        <v>459</v>
      </c>
      <c r="C4" s="3" t="s">
        <v>460</v>
      </c>
      <c r="D4" s="3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/>
    </row>
    <row r="5" spans="1:9" ht="54" customHeight="1">
      <c r="A5" s="2" t="s">
        <v>458</v>
      </c>
      <c r="B5" s="2" t="s">
        <v>461</v>
      </c>
      <c r="C5" s="3" t="s">
        <v>462</v>
      </c>
      <c r="D5" s="3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/>
    </row>
    <row r="6" spans="1:9" ht="54" customHeight="1">
      <c r="A6" s="2" t="s">
        <v>458</v>
      </c>
      <c r="B6" s="2" t="s">
        <v>463</v>
      </c>
      <c r="C6" s="3" t="s">
        <v>460</v>
      </c>
      <c r="D6" s="3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/>
    </row>
    <row r="7" spans="1:9" ht="54" customHeight="1">
      <c r="A7" s="2" t="s">
        <v>458</v>
      </c>
      <c r="B7" s="2" t="s">
        <v>464</v>
      </c>
      <c r="C7" s="3" t="s">
        <v>462</v>
      </c>
      <c r="D7" s="3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/>
    </row>
    <row r="8" spans="1:9" ht="54" customHeight="1">
      <c r="A8" s="2" t="s">
        <v>458</v>
      </c>
      <c r="B8" s="2" t="s">
        <v>463</v>
      </c>
      <c r="C8" s="3" t="s">
        <v>460</v>
      </c>
      <c r="D8" s="3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/>
    </row>
    <row r="9" spans="1:9" ht="54" customHeight="1">
      <c r="A9" s="2" t="s">
        <v>458</v>
      </c>
      <c r="B9" s="2" t="s">
        <v>465</v>
      </c>
      <c r="C9" s="3" t="s">
        <v>460</v>
      </c>
      <c r="D9" s="3" t="s">
        <v>31</v>
      </c>
      <c r="E9" s="2" t="s">
        <v>32</v>
      </c>
      <c r="F9" s="2" t="s">
        <v>33</v>
      </c>
      <c r="G9" s="2" t="s">
        <v>34</v>
      </c>
      <c r="H9" s="2" t="s">
        <v>35</v>
      </c>
      <c r="I9" s="2"/>
    </row>
    <row r="10" spans="1:9" ht="54" customHeight="1">
      <c r="A10" s="2" t="s">
        <v>458</v>
      </c>
      <c r="B10" s="2" t="s">
        <v>465</v>
      </c>
      <c r="C10" s="3" t="s">
        <v>462</v>
      </c>
      <c r="D10" s="3" t="s">
        <v>36</v>
      </c>
      <c r="E10" s="2" t="s">
        <v>37</v>
      </c>
      <c r="F10" s="2" t="s">
        <v>38</v>
      </c>
      <c r="G10" s="2" t="s">
        <v>39</v>
      </c>
      <c r="H10" s="2" t="s">
        <v>40</v>
      </c>
      <c r="I10" s="2"/>
    </row>
    <row r="11" spans="1:9" ht="54" customHeight="1">
      <c r="A11" s="2" t="s">
        <v>458</v>
      </c>
      <c r="B11" s="2" t="s">
        <v>464</v>
      </c>
      <c r="C11" s="3" t="s">
        <v>462</v>
      </c>
      <c r="D11" s="3" t="s">
        <v>41</v>
      </c>
      <c r="E11" s="2" t="s">
        <v>42</v>
      </c>
      <c r="F11" s="2" t="s">
        <v>43</v>
      </c>
      <c r="G11" s="2" t="s">
        <v>44</v>
      </c>
      <c r="H11" s="2" t="s">
        <v>45</v>
      </c>
      <c r="I11" s="2"/>
    </row>
    <row r="12" spans="1:9" ht="54" customHeight="1">
      <c r="A12" s="2" t="s">
        <v>458</v>
      </c>
      <c r="B12" s="2" t="s">
        <v>464</v>
      </c>
      <c r="C12" s="3" t="s">
        <v>462</v>
      </c>
      <c r="D12" s="3" t="s">
        <v>46</v>
      </c>
      <c r="E12" s="2" t="s">
        <v>47</v>
      </c>
      <c r="F12" s="2" t="s">
        <v>48</v>
      </c>
      <c r="G12" s="2" t="s">
        <v>49</v>
      </c>
      <c r="H12" s="2" t="s">
        <v>50</v>
      </c>
      <c r="I12" s="2"/>
    </row>
    <row r="13" spans="1:9" ht="54" customHeight="1">
      <c r="A13" s="2" t="s">
        <v>458</v>
      </c>
      <c r="B13" s="2" t="s">
        <v>464</v>
      </c>
      <c r="C13" s="3" t="s">
        <v>462</v>
      </c>
      <c r="D13" s="3" t="s">
        <v>51</v>
      </c>
      <c r="E13" s="2" t="s">
        <v>52</v>
      </c>
      <c r="F13" s="2" t="s">
        <v>53</v>
      </c>
      <c r="G13" s="2" t="s">
        <v>54</v>
      </c>
      <c r="H13" s="2" t="s">
        <v>55</v>
      </c>
      <c r="I13" s="2"/>
    </row>
    <row r="14" spans="1:9" ht="54" customHeight="1">
      <c r="A14" s="2" t="s">
        <v>458</v>
      </c>
      <c r="B14" s="2" t="s">
        <v>466</v>
      </c>
      <c r="C14" s="3" t="s">
        <v>462</v>
      </c>
      <c r="D14" s="3" t="s">
        <v>56</v>
      </c>
      <c r="E14" s="2" t="s">
        <v>57</v>
      </c>
      <c r="F14" s="2" t="s">
        <v>58</v>
      </c>
      <c r="G14" s="2" t="s">
        <v>59</v>
      </c>
      <c r="H14" s="2" t="s">
        <v>60</v>
      </c>
      <c r="I14" s="2"/>
    </row>
    <row r="15" spans="1:9" ht="54" customHeight="1">
      <c r="A15" s="2" t="s">
        <v>458</v>
      </c>
      <c r="B15" s="2" t="s">
        <v>466</v>
      </c>
      <c r="C15" s="3" t="s">
        <v>462</v>
      </c>
      <c r="D15" s="3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/>
    </row>
    <row r="16" spans="1:9" ht="54" customHeight="1">
      <c r="A16" s="2" t="s">
        <v>458</v>
      </c>
      <c r="B16" s="2" t="s">
        <v>466</v>
      </c>
      <c r="C16" s="3" t="s">
        <v>462</v>
      </c>
      <c r="D16" s="3" t="s">
        <v>66</v>
      </c>
      <c r="E16" s="2" t="s">
        <v>67</v>
      </c>
      <c r="F16" s="2" t="s">
        <v>68</v>
      </c>
      <c r="G16" s="2" t="s">
        <v>69</v>
      </c>
      <c r="H16" s="2" t="s">
        <v>70</v>
      </c>
      <c r="I16" s="2"/>
    </row>
    <row r="17" spans="1:9" ht="54" customHeight="1">
      <c r="A17" s="2" t="s">
        <v>458</v>
      </c>
      <c r="B17" s="2" t="s">
        <v>466</v>
      </c>
      <c r="C17" s="3" t="s">
        <v>462</v>
      </c>
      <c r="D17" s="3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2"/>
    </row>
    <row r="18" spans="1:9" ht="54" customHeight="1">
      <c r="A18" s="2" t="s">
        <v>458</v>
      </c>
      <c r="B18" s="2" t="s">
        <v>463</v>
      </c>
      <c r="C18" s="3" t="s">
        <v>467</v>
      </c>
      <c r="D18" s="3" t="s">
        <v>76</v>
      </c>
      <c r="E18" s="2" t="s">
        <v>77</v>
      </c>
      <c r="F18" s="2" t="s">
        <v>78</v>
      </c>
      <c r="G18" s="2" t="s">
        <v>79</v>
      </c>
      <c r="H18" s="2" t="s">
        <v>80</v>
      </c>
      <c r="I18" s="2"/>
    </row>
    <row r="19" spans="1:9" ht="54" customHeight="1">
      <c r="A19" s="2" t="s">
        <v>468</v>
      </c>
      <c r="B19" s="2" t="s">
        <v>459</v>
      </c>
      <c r="C19" s="3" t="s">
        <v>467</v>
      </c>
      <c r="D19" s="3" t="s">
        <v>81</v>
      </c>
      <c r="E19" s="2" t="s">
        <v>82</v>
      </c>
      <c r="F19" s="2" t="s">
        <v>83</v>
      </c>
      <c r="G19" s="2" t="s">
        <v>84</v>
      </c>
      <c r="H19" s="2" t="s">
        <v>85</v>
      </c>
      <c r="I19" s="2"/>
    </row>
    <row r="20" spans="1:9" ht="54" customHeight="1">
      <c r="A20" s="2" t="s">
        <v>468</v>
      </c>
      <c r="B20" s="2" t="s">
        <v>466</v>
      </c>
      <c r="C20" s="3" t="s">
        <v>460</v>
      </c>
      <c r="D20" s="3" t="s">
        <v>86</v>
      </c>
      <c r="E20" s="2" t="s">
        <v>87</v>
      </c>
      <c r="F20" s="2" t="s">
        <v>88</v>
      </c>
      <c r="G20" s="2" t="s">
        <v>89</v>
      </c>
      <c r="H20" s="2" t="s">
        <v>90</v>
      </c>
      <c r="I20" s="2"/>
    </row>
    <row r="21" spans="1:9" ht="54" customHeight="1">
      <c r="A21" s="2" t="s">
        <v>468</v>
      </c>
      <c r="B21" s="2" t="s">
        <v>465</v>
      </c>
      <c r="C21" s="3" t="s">
        <v>460</v>
      </c>
      <c r="D21" s="3" t="s">
        <v>91</v>
      </c>
      <c r="E21" s="2" t="s">
        <v>92</v>
      </c>
      <c r="F21" s="2" t="s">
        <v>93</v>
      </c>
      <c r="G21" s="2" t="s">
        <v>94</v>
      </c>
      <c r="H21" s="2" t="s">
        <v>95</v>
      </c>
      <c r="I21" s="2"/>
    </row>
    <row r="22" spans="1:9" ht="54" customHeight="1">
      <c r="A22" s="2" t="s">
        <v>468</v>
      </c>
      <c r="B22" s="2" t="s">
        <v>459</v>
      </c>
      <c r="C22" s="3" t="s">
        <v>467</v>
      </c>
      <c r="D22" s="3" t="s">
        <v>96</v>
      </c>
      <c r="E22" s="2" t="s">
        <v>97</v>
      </c>
      <c r="F22" s="2" t="s">
        <v>98</v>
      </c>
      <c r="G22" s="2" t="s">
        <v>99</v>
      </c>
      <c r="H22" s="2" t="s">
        <v>100</v>
      </c>
      <c r="I22" s="2"/>
    </row>
    <row r="23" spans="1:9" ht="54" customHeight="1">
      <c r="A23" s="2" t="s">
        <v>468</v>
      </c>
      <c r="B23" s="2" t="s">
        <v>466</v>
      </c>
      <c r="C23" s="3" t="s">
        <v>460</v>
      </c>
      <c r="D23" s="3" t="s">
        <v>101</v>
      </c>
      <c r="E23" s="2" t="s">
        <v>102</v>
      </c>
      <c r="F23" s="2" t="s">
        <v>103</v>
      </c>
      <c r="G23" s="2" t="s">
        <v>104</v>
      </c>
      <c r="H23" s="2" t="s">
        <v>105</v>
      </c>
      <c r="I23" s="2"/>
    </row>
    <row r="24" spans="1:9" ht="54" customHeight="1">
      <c r="A24" s="2" t="s">
        <v>468</v>
      </c>
      <c r="B24" s="2" t="s">
        <v>465</v>
      </c>
      <c r="C24" s="3" t="s">
        <v>460</v>
      </c>
      <c r="D24" s="3" t="s">
        <v>106</v>
      </c>
      <c r="E24" s="2" t="s">
        <v>107</v>
      </c>
      <c r="F24" s="2" t="s">
        <v>108</v>
      </c>
      <c r="G24" s="2" t="s">
        <v>109</v>
      </c>
      <c r="H24" s="2" t="s">
        <v>110</v>
      </c>
      <c r="I24" s="2"/>
    </row>
    <row r="25" spans="1:9" ht="54" customHeight="1">
      <c r="A25" s="2" t="s">
        <v>468</v>
      </c>
      <c r="B25" s="2" t="s">
        <v>466</v>
      </c>
      <c r="C25" s="3" t="s">
        <v>467</v>
      </c>
      <c r="D25" s="3" t="s">
        <v>111</v>
      </c>
      <c r="E25" s="2" t="s">
        <v>112</v>
      </c>
      <c r="F25" s="2" t="s">
        <v>113</v>
      </c>
      <c r="G25" s="2" t="s">
        <v>114</v>
      </c>
      <c r="H25" s="2" t="s">
        <v>115</v>
      </c>
      <c r="I25" s="2"/>
    </row>
    <row r="26" spans="1:9" ht="54" customHeight="1">
      <c r="A26" s="2" t="s">
        <v>468</v>
      </c>
      <c r="B26" s="2" t="s">
        <v>465</v>
      </c>
      <c r="C26" s="3" t="s">
        <v>460</v>
      </c>
      <c r="D26" s="3" t="s">
        <v>116</v>
      </c>
      <c r="E26" s="2" t="s">
        <v>117</v>
      </c>
      <c r="F26" s="2" t="s">
        <v>118</v>
      </c>
      <c r="G26" s="2" t="s">
        <v>119</v>
      </c>
      <c r="H26" s="2" t="s">
        <v>120</v>
      </c>
      <c r="I26" s="2"/>
    </row>
    <row r="27" spans="1:9" ht="54" customHeight="1">
      <c r="A27" s="2" t="s">
        <v>469</v>
      </c>
      <c r="B27" s="2" t="s">
        <v>470</v>
      </c>
      <c r="C27" s="3" t="s">
        <v>462</v>
      </c>
      <c r="D27" s="3" t="s">
        <v>121</v>
      </c>
      <c r="E27" s="2" t="s">
        <v>122</v>
      </c>
      <c r="F27" s="2" t="s">
        <v>123</v>
      </c>
      <c r="G27" s="2" t="s">
        <v>59</v>
      </c>
      <c r="H27" s="2" t="s">
        <v>124</v>
      </c>
      <c r="I27" s="2"/>
    </row>
    <row r="28" spans="1:9" ht="54" customHeight="1">
      <c r="A28" s="2" t="s">
        <v>469</v>
      </c>
      <c r="B28" s="2" t="s">
        <v>464</v>
      </c>
      <c r="C28" s="3" t="s">
        <v>462</v>
      </c>
      <c r="D28" s="3" t="s">
        <v>125</v>
      </c>
      <c r="E28" s="2" t="s">
        <v>126</v>
      </c>
      <c r="F28" s="2" t="s">
        <v>127</v>
      </c>
      <c r="G28" s="2" t="s">
        <v>128</v>
      </c>
      <c r="H28" s="2" t="s">
        <v>129</v>
      </c>
      <c r="I28" s="2"/>
    </row>
    <row r="29" spans="1:9" ht="54" customHeight="1">
      <c r="A29" s="2" t="s">
        <v>469</v>
      </c>
      <c r="B29" s="2" t="s">
        <v>463</v>
      </c>
      <c r="C29" s="3" t="s">
        <v>462</v>
      </c>
      <c r="D29" s="3" t="s">
        <v>130</v>
      </c>
      <c r="E29" s="2" t="s">
        <v>131</v>
      </c>
      <c r="F29" s="2" t="s">
        <v>132</v>
      </c>
      <c r="G29" s="2" t="s">
        <v>133</v>
      </c>
      <c r="H29" s="2" t="s">
        <v>134</v>
      </c>
      <c r="I29" s="2"/>
    </row>
    <row r="30" spans="1:9" ht="54" customHeight="1">
      <c r="A30" s="2" t="s">
        <v>469</v>
      </c>
      <c r="B30" s="2" t="s">
        <v>459</v>
      </c>
      <c r="C30" s="3" t="s">
        <v>467</v>
      </c>
      <c r="D30" s="3" t="s">
        <v>135</v>
      </c>
      <c r="E30" s="2" t="s">
        <v>136</v>
      </c>
      <c r="F30" s="2" t="s">
        <v>137</v>
      </c>
      <c r="G30" s="2" t="s">
        <v>133</v>
      </c>
      <c r="H30" s="2" t="s">
        <v>138</v>
      </c>
      <c r="I30" s="2"/>
    </row>
    <row r="31" spans="1:9" ht="54" customHeight="1">
      <c r="A31" s="2" t="s">
        <v>469</v>
      </c>
      <c r="B31" s="2" t="s">
        <v>461</v>
      </c>
      <c r="C31" s="3" t="s">
        <v>467</v>
      </c>
      <c r="D31" s="3" t="s">
        <v>139</v>
      </c>
      <c r="E31" s="2" t="s">
        <v>140</v>
      </c>
      <c r="F31" s="2" t="s">
        <v>141</v>
      </c>
      <c r="G31" s="2" t="s">
        <v>142</v>
      </c>
      <c r="H31" s="2" t="s">
        <v>143</v>
      </c>
      <c r="I31" s="2"/>
    </row>
    <row r="32" spans="1:9" ht="54" customHeight="1">
      <c r="A32" s="2" t="s">
        <v>469</v>
      </c>
      <c r="B32" s="2" t="s">
        <v>464</v>
      </c>
      <c r="C32" s="3" t="s">
        <v>462</v>
      </c>
      <c r="D32" s="3" t="s">
        <v>144</v>
      </c>
      <c r="E32" s="2" t="s">
        <v>145</v>
      </c>
      <c r="F32" s="2" t="s">
        <v>146</v>
      </c>
      <c r="G32" s="2" t="s">
        <v>147</v>
      </c>
      <c r="H32" s="2" t="s">
        <v>148</v>
      </c>
      <c r="I32" s="2"/>
    </row>
    <row r="33" spans="1:9" ht="54" customHeight="1">
      <c r="A33" s="2" t="s">
        <v>469</v>
      </c>
      <c r="B33" s="2" t="s">
        <v>465</v>
      </c>
      <c r="C33" s="3" t="s">
        <v>462</v>
      </c>
      <c r="D33" s="3" t="s">
        <v>149</v>
      </c>
      <c r="E33" s="2" t="s">
        <v>150</v>
      </c>
      <c r="F33" s="2" t="s">
        <v>151</v>
      </c>
      <c r="G33" s="2" t="s">
        <v>152</v>
      </c>
      <c r="H33" s="2" t="s">
        <v>153</v>
      </c>
      <c r="I33" s="2"/>
    </row>
    <row r="34" spans="1:9" ht="54" customHeight="1">
      <c r="A34" s="2" t="s">
        <v>469</v>
      </c>
      <c r="B34" s="2" t="s">
        <v>466</v>
      </c>
      <c r="C34" s="3" t="s">
        <v>460</v>
      </c>
      <c r="D34" s="3" t="s">
        <v>154</v>
      </c>
      <c r="E34" s="2" t="s">
        <v>155</v>
      </c>
      <c r="F34" s="2" t="s">
        <v>156</v>
      </c>
      <c r="G34" s="2" t="s">
        <v>157</v>
      </c>
      <c r="H34" s="2" t="s">
        <v>158</v>
      </c>
      <c r="I34" s="2"/>
    </row>
    <row r="35" spans="1:9" ht="54" customHeight="1">
      <c r="A35" s="2" t="s">
        <v>469</v>
      </c>
      <c r="B35" s="2" t="s">
        <v>466</v>
      </c>
      <c r="C35" s="3" t="s">
        <v>460</v>
      </c>
      <c r="D35" s="3" t="s">
        <v>159</v>
      </c>
      <c r="E35" s="2" t="s">
        <v>160</v>
      </c>
      <c r="F35" s="2" t="s">
        <v>161</v>
      </c>
      <c r="G35" s="2" t="s">
        <v>162</v>
      </c>
      <c r="H35" s="2" t="s">
        <v>163</v>
      </c>
      <c r="I35" s="2"/>
    </row>
    <row r="36" spans="1:9" ht="54" customHeight="1">
      <c r="A36" s="2" t="s">
        <v>469</v>
      </c>
      <c r="B36" s="2" t="s">
        <v>465</v>
      </c>
      <c r="C36" s="3" t="s">
        <v>462</v>
      </c>
      <c r="D36" s="3" t="s">
        <v>164</v>
      </c>
      <c r="E36" s="2" t="s">
        <v>165</v>
      </c>
      <c r="F36" s="2" t="s">
        <v>166</v>
      </c>
      <c r="G36" s="2" t="s">
        <v>167</v>
      </c>
      <c r="H36" s="2" t="s">
        <v>168</v>
      </c>
      <c r="I36" s="2"/>
    </row>
    <row r="37" spans="1:9" ht="54" customHeight="1">
      <c r="A37" s="2" t="s">
        <v>469</v>
      </c>
      <c r="B37" s="2" t="s">
        <v>465</v>
      </c>
      <c r="C37" s="3" t="s">
        <v>462</v>
      </c>
      <c r="D37" s="3" t="s">
        <v>169</v>
      </c>
      <c r="E37" s="2" t="s">
        <v>170</v>
      </c>
      <c r="F37" s="2" t="s">
        <v>171</v>
      </c>
      <c r="G37" s="2" t="s">
        <v>172</v>
      </c>
      <c r="H37" s="2" t="s">
        <v>173</v>
      </c>
      <c r="I37" s="2"/>
    </row>
    <row r="38" spans="1:9" ht="54" customHeight="1">
      <c r="A38" s="2" t="s">
        <v>469</v>
      </c>
      <c r="B38" s="2" t="s">
        <v>464</v>
      </c>
      <c r="C38" s="3" t="s">
        <v>460</v>
      </c>
      <c r="D38" s="3" t="s">
        <v>174</v>
      </c>
      <c r="E38" s="2" t="s">
        <v>175</v>
      </c>
      <c r="F38" s="2" t="s">
        <v>176</v>
      </c>
      <c r="G38" s="2" t="s">
        <v>177</v>
      </c>
      <c r="H38" s="2" t="s">
        <v>178</v>
      </c>
      <c r="I38" s="2"/>
    </row>
    <row r="39" spans="1:9" ht="54" customHeight="1">
      <c r="A39" s="2" t="s">
        <v>471</v>
      </c>
      <c r="B39" s="2" t="s">
        <v>466</v>
      </c>
      <c r="C39" s="3" t="s">
        <v>462</v>
      </c>
      <c r="D39" s="3" t="s">
        <v>179</v>
      </c>
      <c r="E39" s="2" t="s">
        <v>180</v>
      </c>
      <c r="F39" s="2" t="s">
        <v>181</v>
      </c>
      <c r="G39" s="2" t="s">
        <v>182</v>
      </c>
      <c r="H39" s="2" t="s">
        <v>183</v>
      </c>
      <c r="I39" s="2"/>
    </row>
    <row r="40" spans="1:9" ht="54" customHeight="1">
      <c r="A40" s="2" t="s">
        <v>471</v>
      </c>
      <c r="B40" s="2" t="s">
        <v>463</v>
      </c>
      <c r="C40" s="3" t="s">
        <v>460</v>
      </c>
      <c r="D40" s="3" t="s">
        <v>184</v>
      </c>
      <c r="E40" s="2" t="s">
        <v>185</v>
      </c>
      <c r="F40" s="2" t="s">
        <v>186</v>
      </c>
      <c r="G40" s="2" t="s">
        <v>187</v>
      </c>
      <c r="H40" s="2" t="s">
        <v>188</v>
      </c>
      <c r="I40" s="2"/>
    </row>
    <row r="41" spans="1:9" ht="54" customHeight="1">
      <c r="A41" s="2" t="s">
        <v>471</v>
      </c>
      <c r="B41" s="2" t="s">
        <v>463</v>
      </c>
      <c r="C41" s="3" t="s">
        <v>467</v>
      </c>
      <c r="D41" s="3" t="s">
        <v>189</v>
      </c>
      <c r="E41" s="2" t="s">
        <v>190</v>
      </c>
      <c r="F41" s="2" t="s">
        <v>191</v>
      </c>
      <c r="G41" s="2" t="s">
        <v>192</v>
      </c>
      <c r="H41" s="2" t="s">
        <v>193</v>
      </c>
      <c r="I41" s="2"/>
    </row>
    <row r="42" spans="1:9" ht="54" customHeight="1">
      <c r="A42" s="2" t="s">
        <v>471</v>
      </c>
      <c r="B42" s="2" t="s">
        <v>463</v>
      </c>
      <c r="C42" s="3" t="s">
        <v>467</v>
      </c>
      <c r="D42" s="3" t="s">
        <v>194</v>
      </c>
      <c r="E42" s="2" t="s">
        <v>195</v>
      </c>
      <c r="F42" s="2" t="s">
        <v>196</v>
      </c>
      <c r="G42" s="2" t="s">
        <v>197</v>
      </c>
      <c r="H42" s="2" t="s">
        <v>198</v>
      </c>
      <c r="I42" s="2"/>
    </row>
    <row r="43" spans="1:9" ht="54" customHeight="1">
      <c r="A43" s="2" t="s">
        <v>471</v>
      </c>
      <c r="B43" s="2" t="s">
        <v>465</v>
      </c>
      <c r="C43" s="3" t="s">
        <v>460</v>
      </c>
      <c r="D43" s="3" t="s">
        <v>199</v>
      </c>
      <c r="E43" s="2" t="s">
        <v>200</v>
      </c>
      <c r="F43" s="2" t="s">
        <v>201</v>
      </c>
      <c r="G43" s="2" t="s">
        <v>202</v>
      </c>
      <c r="H43" s="2" t="s">
        <v>203</v>
      </c>
      <c r="I43" s="2"/>
    </row>
    <row r="44" spans="1:9" ht="54" customHeight="1">
      <c r="A44" s="2" t="s">
        <v>471</v>
      </c>
      <c r="B44" s="2" t="s">
        <v>463</v>
      </c>
      <c r="C44" s="3" t="s">
        <v>467</v>
      </c>
      <c r="D44" s="3" t="s">
        <v>204</v>
      </c>
      <c r="E44" s="2" t="s">
        <v>205</v>
      </c>
      <c r="F44" s="2" t="s">
        <v>206</v>
      </c>
      <c r="G44" s="2" t="s">
        <v>207</v>
      </c>
      <c r="H44" s="2" t="s">
        <v>208</v>
      </c>
      <c r="I44" s="2"/>
    </row>
    <row r="45" spans="1:9" ht="54" customHeight="1">
      <c r="A45" s="2" t="s">
        <v>471</v>
      </c>
      <c r="B45" s="2" t="s">
        <v>465</v>
      </c>
      <c r="C45" s="3" t="s">
        <v>462</v>
      </c>
      <c r="D45" s="3" t="s">
        <v>209</v>
      </c>
      <c r="E45" s="2" t="s">
        <v>210</v>
      </c>
      <c r="F45" s="2" t="s">
        <v>211</v>
      </c>
      <c r="G45" s="2" t="s">
        <v>212</v>
      </c>
      <c r="H45" s="2" t="s">
        <v>213</v>
      </c>
      <c r="I45" s="2"/>
    </row>
    <row r="46" spans="1:9" ht="54" customHeight="1">
      <c r="A46" s="2" t="s">
        <v>472</v>
      </c>
      <c r="B46" s="2" t="s">
        <v>459</v>
      </c>
      <c r="C46" s="3" t="s">
        <v>467</v>
      </c>
      <c r="D46" s="3" t="s">
        <v>214</v>
      </c>
      <c r="E46" s="2" t="s">
        <v>215</v>
      </c>
      <c r="F46" s="2" t="s">
        <v>216</v>
      </c>
      <c r="G46" s="2" t="s">
        <v>217</v>
      </c>
      <c r="H46" s="2" t="s">
        <v>218</v>
      </c>
      <c r="I46" s="2"/>
    </row>
    <row r="47" spans="1:9" ht="54" customHeight="1">
      <c r="A47" s="2" t="s">
        <v>472</v>
      </c>
      <c r="B47" s="2" t="s">
        <v>466</v>
      </c>
      <c r="C47" s="3" t="s">
        <v>460</v>
      </c>
      <c r="D47" s="3" t="s">
        <v>219</v>
      </c>
      <c r="E47" s="2" t="s">
        <v>220</v>
      </c>
      <c r="F47" s="2" t="s">
        <v>221</v>
      </c>
      <c r="G47" s="2" t="s">
        <v>222</v>
      </c>
      <c r="H47" s="2" t="s">
        <v>223</v>
      </c>
      <c r="I47" s="2"/>
    </row>
    <row r="48" spans="1:9" ht="54" customHeight="1">
      <c r="A48" s="2" t="s">
        <v>472</v>
      </c>
      <c r="B48" s="2" t="s">
        <v>459</v>
      </c>
      <c r="C48" s="3" t="s">
        <v>462</v>
      </c>
      <c r="D48" s="3" t="s">
        <v>224</v>
      </c>
      <c r="E48" s="2" t="s">
        <v>225</v>
      </c>
      <c r="F48" s="2" t="s">
        <v>226</v>
      </c>
      <c r="G48" s="2" t="s">
        <v>227</v>
      </c>
      <c r="H48" s="2" t="s">
        <v>228</v>
      </c>
      <c r="I48" s="2"/>
    </row>
    <row r="49" spans="1:9" ht="54" customHeight="1">
      <c r="A49" s="2" t="s">
        <v>472</v>
      </c>
      <c r="B49" s="2" t="s">
        <v>461</v>
      </c>
      <c r="C49" s="3" t="s">
        <v>462</v>
      </c>
      <c r="D49" s="3" t="s">
        <v>229</v>
      </c>
      <c r="E49" s="2" t="s">
        <v>230</v>
      </c>
      <c r="F49" s="2" t="s">
        <v>231</v>
      </c>
      <c r="G49" s="2" t="s">
        <v>232</v>
      </c>
      <c r="H49" s="2" t="s">
        <v>233</v>
      </c>
      <c r="I49" s="2"/>
    </row>
    <row r="50" spans="1:9" ht="54" customHeight="1">
      <c r="A50" s="2" t="s">
        <v>472</v>
      </c>
      <c r="B50" s="2" t="s">
        <v>461</v>
      </c>
      <c r="C50" s="3" t="s">
        <v>462</v>
      </c>
      <c r="D50" s="3" t="s">
        <v>234</v>
      </c>
      <c r="E50" s="2" t="s">
        <v>235</v>
      </c>
      <c r="F50" s="2" t="s">
        <v>236</v>
      </c>
      <c r="G50" s="2" t="s">
        <v>237</v>
      </c>
      <c r="H50" s="2" t="s">
        <v>238</v>
      </c>
      <c r="I50" s="2"/>
    </row>
    <row r="51" spans="1:9" ht="54" customHeight="1">
      <c r="A51" s="2" t="s">
        <v>472</v>
      </c>
      <c r="B51" s="2" t="s">
        <v>464</v>
      </c>
      <c r="C51" s="3" t="s">
        <v>462</v>
      </c>
      <c r="D51" s="3" t="s">
        <v>239</v>
      </c>
      <c r="E51" s="2" t="s">
        <v>240</v>
      </c>
      <c r="F51" s="2" t="s">
        <v>241</v>
      </c>
      <c r="G51" s="2" t="s">
        <v>242</v>
      </c>
      <c r="H51" s="2" t="s">
        <v>243</v>
      </c>
      <c r="I51" s="2"/>
    </row>
    <row r="52" spans="1:9" ht="54" customHeight="1">
      <c r="A52" s="2" t="s">
        <v>472</v>
      </c>
      <c r="B52" s="2" t="s">
        <v>465</v>
      </c>
      <c r="C52" s="3" t="s">
        <v>467</v>
      </c>
      <c r="D52" s="3" t="s">
        <v>244</v>
      </c>
      <c r="E52" s="2" t="s">
        <v>245</v>
      </c>
      <c r="F52" s="2" t="s">
        <v>246</v>
      </c>
      <c r="G52" s="2" t="s">
        <v>247</v>
      </c>
      <c r="H52" s="2" t="s">
        <v>248</v>
      </c>
      <c r="I52" s="2"/>
    </row>
    <row r="53" spans="1:9" ht="54" customHeight="1">
      <c r="A53" s="2" t="s">
        <v>472</v>
      </c>
      <c r="B53" s="2" t="s">
        <v>466</v>
      </c>
      <c r="C53" s="3" t="s">
        <v>467</v>
      </c>
      <c r="D53" s="3" t="s">
        <v>249</v>
      </c>
      <c r="E53" s="2" t="s">
        <v>250</v>
      </c>
      <c r="F53" s="2" t="s">
        <v>251</v>
      </c>
      <c r="G53" s="2" t="s">
        <v>252</v>
      </c>
      <c r="H53" s="2" t="s">
        <v>253</v>
      </c>
      <c r="I53" s="2"/>
    </row>
    <row r="54" spans="1:9" ht="54" customHeight="1">
      <c r="A54" s="2" t="s">
        <v>472</v>
      </c>
      <c r="B54" s="2" t="s">
        <v>466</v>
      </c>
      <c r="C54" s="3" t="s">
        <v>467</v>
      </c>
      <c r="D54" s="3" t="s">
        <v>254</v>
      </c>
      <c r="E54" s="2" t="s">
        <v>255</v>
      </c>
      <c r="F54" s="2" t="s">
        <v>256</v>
      </c>
      <c r="G54" s="2" t="s">
        <v>257</v>
      </c>
      <c r="H54" s="2" t="s">
        <v>258</v>
      </c>
      <c r="I54" s="2"/>
    </row>
    <row r="55" spans="1:9" ht="54" customHeight="1">
      <c r="A55" s="2" t="s">
        <v>473</v>
      </c>
      <c r="B55" s="2" t="s">
        <v>461</v>
      </c>
      <c r="C55" s="3" t="s">
        <v>460</v>
      </c>
      <c r="D55" s="3" t="s">
        <v>259</v>
      </c>
      <c r="E55" s="2" t="s">
        <v>260</v>
      </c>
      <c r="F55" s="2" t="s">
        <v>261</v>
      </c>
      <c r="G55" s="2" t="s">
        <v>262</v>
      </c>
      <c r="H55" s="2" t="s">
        <v>263</v>
      </c>
      <c r="I55" s="2"/>
    </row>
    <row r="56" spans="1:9" ht="54" customHeight="1">
      <c r="A56" s="2" t="s">
        <v>473</v>
      </c>
      <c r="B56" s="2" t="s">
        <v>461</v>
      </c>
      <c r="C56" s="3" t="s">
        <v>467</v>
      </c>
      <c r="D56" s="3" t="s">
        <v>264</v>
      </c>
      <c r="E56" s="2" t="s">
        <v>265</v>
      </c>
      <c r="F56" s="2" t="s">
        <v>266</v>
      </c>
      <c r="G56" s="2" t="s">
        <v>267</v>
      </c>
      <c r="H56" s="2" t="s">
        <v>268</v>
      </c>
      <c r="I56" s="2"/>
    </row>
    <row r="57" spans="1:9" ht="54" customHeight="1">
      <c r="A57" s="2" t="s">
        <v>473</v>
      </c>
      <c r="B57" s="2" t="s">
        <v>461</v>
      </c>
      <c r="C57" s="3" t="s">
        <v>462</v>
      </c>
      <c r="D57" s="3" t="s">
        <v>269</v>
      </c>
      <c r="E57" s="2" t="s">
        <v>270</v>
      </c>
      <c r="F57" s="2" t="s">
        <v>271</v>
      </c>
      <c r="G57" s="2" t="s">
        <v>272</v>
      </c>
      <c r="H57" s="2" t="s">
        <v>273</v>
      </c>
      <c r="I57" s="2"/>
    </row>
    <row r="58" spans="1:9" ht="54" customHeight="1">
      <c r="A58" s="2" t="s">
        <v>473</v>
      </c>
      <c r="B58" s="2" t="s">
        <v>463</v>
      </c>
      <c r="C58" s="3" t="s">
        <v>462</v>
      </c>
      <c r="D58" s="3" t="s">
        <v>274</v>
      </c>
      <c r="E58" s="2" t="s">
        <v>275</v>
      </c>
      <c r="F58" s="2" t="s">
        <v>276</v>
      </c>
      <c r="G58" s="2" t="s">
        <v>277</v>
      </c>
      <c r="H58" s="2" t="s">
        <v>278</v>
      </c>
      <c r="I58" s="2"/>
    </row>
    <row r="59" spans="1:9" ht="54" customHeight="1">
      <c r="A59" s="2" t="s">
        <v>473</v>
      </c>
      <c r="B59" s="2" t="s">
        <v>463</v>
      </c>
      <c r="C59" s="3" t="s">
        <v>462</v>
      </c>
      <c r="D59" s="3" t="s">
        <v>279</v>
      </c>
      <c r="E59" s="2" t="s">
        <v>280</v>
      </c>
      <c r="F59" s="2" t="s">
        <v>281</v>
      </c>
      <c r="G59" s="2" t="s">
        <v>282</v>
      </c>
      <c r="H59" s="2" t="s">
        <v>283</v>
      </c>
      <c r="I59" s="2"/>
    </row>
    <row r="60" spans="1:9" ht="54" customHeight="1">
      <c r="A60" s="2" t="s">
        <v>473</v>
      </c>
      <c r="B60" s="2" t="s">
        <v>463</v>
      </c>
      <c r="C60" s="3" t="s">
        <v>467</v>
      </c>
      <c r="D60" s="3" t="s">
        <v>284</v>
      </c>
      <c r="E60" s="2" t="s">
        <v>285</v>
      </c>
      <c r="F60" s="2" t="s">
        <v>286</v>
      </c>
      <c r="G60" s="2" t="s">
        <v>287</v>
      </c>
      <c r="H60" s="2" t="s">
        <v>288</v>
      </c>
      <c r="I60" s="2"/>
    </row>
    <row r="61" spans="1:9" ht="54" customHeight="1">
      <c r="A61" s="2" t="s">
        <v>473</v>
      </c>
      <c r="B61" s="2" t="s">
        <v>463</v>
      </c>
      <c r="C61" s="3" t="s">
        <v>462</v>
      </c>
      <c r="D61" s="3" t="s">
        <v>289</v>
      </c>
      <c r="E61" s="2" t="s">
        <v>290</v>
      </c>
      <c r="F61" s="2" t="s">
        <v>291</v>
      </c>
      <c r="G61" s="2" t="s">
        <v>29</v>
      </c>
      <c r="H61" s="2" t="s">
        <v>292</v>
      </c>
      <c r="I61" s="2"/>
    </row>
    <row r="62" spans="1:9" ht="54" customHeight="1">
      <c r="A62" s="2" t="s">
        <v>473</v>
      </c>
      <c r="B62" s="2" t="s">
        <v>465</v>
      </c>
      <c r="C62" s="3" t="s">
        <v>462</v>
      </c>
      <c r="D62" s="3" t="s">
        <v>293</v>
      </c>
      <c r="E62" s="2" t="s">
        <v>294</v>
      </c>
      <c r="F62" s="2" t="s">
        <v>295</v>
      </c>
      <c r="G62" s="2" t="s">
        <v>296</v>
      </c>
      <c r="H62" s="2" t="s">
        <v>297</v>
      </c>
      <c r="I62" s="2"/>
    </row>
    <row r="63" spans="1:9" ht="54" customHeight="1">
      <c r="A63" s="2" t="s">
        <v>473</v>
      </c>
      <c r="B63" s="2" t="s">
        <v>463</v>
      </c>
      <c r="C63" s="3" t="s">
        <v>462</v>
      </c>
      <c r="D63" s="3" t="s">
        <v>298</v>
      </c>
      <c r="E63" s="2" t="s">
        <v>299</v>
      </c>
      <c r="F63" s="2" t="s">
        <v>300</v>
      </c>
      <c r="G63" s="2" t="s">
        <v>301</v>
      </c>
      <c r="H63" s="2" t="s">
        <v>302</v>
      </c>
      <c r="I63" s="2"/>
    </row>
    <row r="64" spans="1:9" ht="54" customHeight="1">
      <c r="A64" s="2" t="s">
        <v>473</v>
      </c>
      <c r="B64" s="2" t="s">
        <v>463</v>
      </c>
      <c r="C64" s="3" t="s">
        <v>462</v>
      </c>
      <c r="D64" s="3" t="s">
        <v>303</v>
      </c>
      <c r="E64" s="2" t="s">
        <v>304</v>
      </c>
      <c r="F64" s="2" t="s">
        <v>305</v>
      </c>
      <c r="G64" s="2" t="s">
        <v>306</v>
      </c>
      <c r="H64" s="2" t="s">
        <v>307</v>
      </c>
      <c r="I64" s="2"/>
    </row>
    <row r="65" spans="1:9" ht="54" customHeight="1">
      <c r="A65" s="2" t="s">
        <v>473</v>
      </c>
      <c r="B65" s="2" t="s">
        <v>474</v>
      </c>
      <c r="C65" s="3" t="s">
        <v>467</v>
      </c>
      <c r="D65" s="3" t="s">
        <v>308</v>
      </c>
      <c r="E65" s="2" t="s">
        <v>309</v>
      </c>
      <c r="F65" s="2" t="s">
        <v>310</v>
      </c>
      <c r="G65" s="2" t="s">
        <v>311</v>
      </c>
      <c r="H65" s="2" t="s">
        <v>312</v>
      </c>
      <c r="I65" s="2"/>
    </row>
    <row r="66" spans="1:9" ht="54" customHeight="1">
      <c r="A66" s="2" t="s">
        <v>473</v>
      </c>
      <c r="B66" s="2" t="s">
        <v>474</v>
      </c>
      <c r="C66" s="3" t="s">
        <v>467</v>
      </c>
      <c r="D66" s="3" t="s">
        <v>313</v>
      </c>
      <c r="E66" s="2" t="s">
        <v>314</v>
      </c>
      <c r="F66" s="2" t="s">
        <v>315</v>
      </c>
      <c r="G66" s="2" t="s">
        <v>316</v>
      </c>
      <c r="H66" s="2" t="s">
        <v>317</v>
      </c>
      <c r="I66" s="2"/>
    </row>
    <row r="67" spans="1:9" ht="54" customHeight="1">
      <c r="A67" s="2" t="s">
        <v>473</v>
      </c>
      <c r="B67" s="2" t="s">
        <v>474</v>
      </c>
      <c r="C67" s="3" t="s">
        <v>467</v>
      </c>
      <c r="D67" s="3" t="s">
        <v>318</v>
      </c>
      <c r="E67" s="2" t="s">
        <v>319</v>
      </c>
      <c r="F67" s="2" t="s">
        <v>320</v>
      </c>
      <c r="G67" s="2" t="s">
        <v>321</v>
      </c>
      <c r="H67" s="2" t="s">
        <v>322</v>
      </c>
      <c r="I67" s="2"/>
    </row>
    <row r="68" spans="1:9" ht="54" customHeight="1">
      <c r="A68" s="2" t="s">
        <v>473</v>
      </c>
      <c r="B68" s="2" t="s">
        <v>461</v>
      </c>
      <c r="C68" s="3" t="s">
        <v>467</v>
      </c>
      <c r="D68" s="3" t="s">
        <v>347</v>
      </c>
      <c r="E68" s="2" t="s">
        <v>348</v>
      </c>
      <c r="F68" s="2" t="s">
        <v>349</v>
      </c>
      <c r="G68" s="2" t="s">
        <v>350</v>
      </c>
      <c r="H68" s="2" t="s">
        <v>351</v>
      </c>
      <c r="I68" s="2"/>
    </row>
    <row r="69" spans="1:9" ht="54" customHeight="1">
      <c r="A69" s="2" t="s">
        <v>475</v>
      </c>
      <c r="B69" s="2" t="s">
        <v>464</v>
      </c>
      <c r="C69" s="3" t="s">
        <v>462</v>
      </c>
      <c r="D69" s="3" t="s">
        <v>323</v>
      </c>
      <c r="E69" s="2" t="s">
        <v>324</v>
      </c>
      <c r="F69" s="2" t="s">
        <v>325</v>
      </c>
      <c r="G69" s="2" t="s">
        <v>326</v>
      </c>
      <c r="H69" s="2" t="s">
        <v>327</v>
      </c>
      <c r="I69" s="2"/>
    </row>
    <row r="70" spans="1:9" ht="54" customHeight="1">
      <c r="A70" s="2" t="s">
        <v>475</v>
      </c>
      <c r="B70" s="2" t="s">
        <v>465</v>
      </c>
      <c r="C70" s="3" t="s">
        <v>462</v>
      </c>
      <c r="D70" s="3" t="s">
        <v>328</v>
      </c>
      <c r="E70" s="2" t="s">
        <v>329</v>
      </c>
      <c r="F70" s="2" t="s">
        <v>330</v>
      </c>
      <c r="G70" s="2" t="s">
        <v>331</v>
      </c>
      <c r="H70" s="2" t="s">
        <v>332</v>
      </c>
      <c r="I70" s="2"/>
    </row>
    <row r="71" spans="1:9" ht="54" customHeight="1">
      <c r="A71" s="2" t="s">
        <v>475</v>
      </c>
      <c r="B71" s="2" t="s">
        <v>464</v>
      </c>
      <c r="C71" s="3" t="s">
        <v>462</v>
      </c>
      <c r="D71" s="3" t="s">
        <v>333</v>
      </c>
      <c r="E71" s="2" t="s">
        <v>334</v>
      </c>
      <c r="F71" s="2" t="s">
        <v>335</v>
      </c>
      <c r="G71" s="2" t="s">
        <v>14</v>
      </c>
      <c r="H71" s="2" t="s">
        <v>336</v>
      </c>
      <c r="I71" s="2"/>
    </row>
    <row r="72" spans="1:9" ht="54" customHeight="1">
      <c r="A72" s="2" t="s">
        <v>475</v>
      </c>
      <c r="B72" s="2" t="s">
        <v>464</v>
      </c>
      <c r="C72" s="3" t="s">
        <v>462</v>
      </c>
      <c r="D72" s="3" t="s">
        <v>337</v>
      </c>
      <c r="E72" s="2" t="s">
        <v>338</v>
      </c>
      <c r="F72" s="2" t="s">
        <v>339</v>
      </c>
      <c r="G72" s="2" t="s">
        <v>340</v>
      </c>
      <c r="H72" s="2" t="s">
        <v>341</v>
      </c>
      <c r="I72" s="2"/>
    </row>
    <row r="73" spans="1:9" ht="54" customHeight="1">
      <c r="A73" s="2" t="s">
        <v>475</v>
      </c>
      <c r="B73" s="2" t="s">
        <v>464</v>
      </c>
      <c r="C73" s="3" t="s">
        <v>462</v>
      </c>
      <c r="D73" s="3" t="s">
        <v>342</v>
      </c>
      <c r="E73" s="2" t="s">
        <v>343</v>
      </c>
      <c r="F73" s="2" t="s">
        <v>344</v>
      </c>
      <c r="G73" s="2" t="s">
        <v>345</v>
      </c>
      <c r="H73" s="2" t="s">
        <v>346</v>
      </c>
      <c r="I73" s="2"/>
    </row>
    <row r="74" spans="1:9" ht="54" customHeight="1">
      <c r="A74" s="2" t="s">
        <v>476</v>
      </c>
      <c r="B74" s="2" t="s">
        <v>466</v>
      </c>
      <c r="C74" s="3" t="s">
        <v>467</v>
      </c>
      <c r="D74" s="3" t="s">
        <v>352</v>
      </c>
      <c r="E74" s="2" t="s">
        <v>353</v>
      </c>
      <c r="F74" s="2" t="s">
        <v>354</v>
      </c>
      <c r="G74" s="2" t="s">
        <v>355</v>
      </c>
      <c r="H74" s="2" t="s">
        <v>356</v>
      </c>
      <c r="I74" s="2"/>
    </row>
    <row r="75" spans="1:9" ht="54" customHeight="1">
      <c r="A75" s="2" t="s">
        <v>476</v>
      </c>
      <c r="B75" s="2" t="s">
        <v>466</v>
      </c>
      <c r="C75" s="3" t="s">
        <v>462</v>
      </c>
      <c r="D75" s="3" t="s">
        <v>357</v>
      </c>
      <c r="E75" s="2" t="s">
        <v>358</v>
      </c>
      <c r="F75" s="2" t="s">
        <v>359</v>
      </c>
      <c r="G75" s="2" t="s">
        <v>360</v>
      </c>
      <c r="H75" s="2" t="s">
        <v>361</v>
      </c>
      <c r="I75" s="2"/>
    </row>
    <row r="76" spans="1:9" ht="54" customHeight="1">
      <c r="A76" s="2" t="s">
        <v>476</v>
      </c>
      <c r="B76" s="2" t="s">
        <v>465</v>
      </c>
      <c r="C76" s="3" t="s">
        <v>467</v>
      </c>
      <c r="D76" s="3" t="s">
        <v>362</v>
      </c>
      <c r="E76" s="2" t="s">
        <v>363</v>
      </c>
      <c r="F76" s="2" t="s">
        <v>364</v>
      </c>
      <c r="G76" s="2" t="s">
        <v>365</v>
      </c>
      <c r="H76" s="2" t="s">
        <v>366</v>
      </c>
      <c r="I76" s="2"/>
    </row>
    <row r="77" spans="1:9" ht="54" customHeight="1">
      <c r="A77" s="2" t="s">
        <v>476</v>
      </c>
      <c r="B77" s="2" t="s">
        <v>466</v>
      </c>
      <c r="C77" s="3" t="s">
        <v>462</v>
      </c>
      <c r="D77" s="3" t="s">
        <v>367</v>
      </c>
      <c r="E77" s="2" t="s">
        <v>368</v>
      </c>
      <c r="F77" s="2" t="s">
        <v>369</v>
      </c>
      <c r="G77" s="2" t="s">
        <v>370</v>
      </c>
      <c r="H77" s="2" t="s">
        <v>371</v>
      </c>
      <c r="I77" s="2"/>
    </row>
    <row r="78" spans="1:9" ht="54" customHeight="1">
      <c r="A78" s="2" t="s">
        <v>476</v>
      </c>
      <c r="B78" s="2" t="s">
        <v>466</v>
      </c>
      <c r="C78" s="3" t="s">
        <v>462</v>
      </c>
      <c r="D78" s="3" t="s">
        <v>372</v>
      </c>
      <c r="E78" s="2" t="s">
        <v>373</v>
      </c>
      <c r="F78" s="2" t="s">
        <v>374</v>
      </c>
      <c r="G78" s="2" t="s">
        <v>375</v>
      </c>
      <c r="H78" s="2" t="s">
        <v>376</v>
      </c>
      <c r="I78" s="2"/>
    </row>
    <row r="79" spans="1:9" ht="54" customHeight="1">
      <c r="A79" s="2" t="s">
        <v>476</v>
      </c>
      <c r="B79" s="2" t="s">
        <v>466</v>
      </c>
      <c r="C79" s="3" t="s">
        <v>462</v>
      </c>
      <c r="D79" s="3" t="s">
        <v>377</v>
      </c>
      <c r="E79" s="2" t="s">
        <v>378</v>
      </c>
      <c r="F79" s="2" t="s">
        <v>379</v>
      </c>
      <c r="G79" s="2" t="s">
        <v>380</v>
      </c>
      <c r="H79" s="2" t="s">
        <v>381</v>
      </c>
      <c r="I79" s="2"/>
    </row>
    <row r="80" spans="1:9" ht="54" customHeight="1">
      <c r="A80" s="2" t="s">
        <v>476</v>
      </c>
      <c r="B80" s="2" t="s">
        <v>466</v>
      </c>
      <c r="C80" s="3" t="s">
        <v>462</v>
      </c>
      <c r="D80" s="3" t="s">
        <v>382</v>
      </c>
      <c r="E80" s="2" t="s">
        <v>383</v>
      </c>
      <c r="F80" s="2" t="s">
        <v>384</v>
      </c>
      <c r="G80" s="2" t="s">
        <v>345</v>
      </c>
      <c r="H80" s="2" t="s">
        <v>385</v>
      </c>
      <c r="I80" s="2"/>
    </row>
    <row r="81" spans="1:9" ht="54" customHeight="1">
      <c r="A81" s="2" t="s">
        <v>476</v>
      </c>
      <c r="B81" s="2" t="s">
        <v>466</v>
      </c>
      <c r="C81" s="3" t="s">
        <v>462</v>
      </c>
      <c r="D81" s="3" t="s">
        <v>386</v>
      </c>
      <c r="E81" s="2" t="s">
        <v>387</v>
      </c>
      <c r="F81" s="2" t="s">
        <v>388</v>
      </c>
      <c r="G81" s="2" t="s">
        <v>389</v>
      </c>
      <c r="H81" s="2" t="s">
        <v>390</v>
      </c>
      <c r="I81" s="2"/>
    </row>
    <row r="82" spans="1:9" ht="54" customHeight="1">
      <c r="A82" s="2" t="s">
        <v>476</v>
      </c>
      <c r="B82" s="2" t="s">
        <v>466</v>
      </c>
      <c r="C82" s="3" t="s">
        <v>462</v>
      </c>
      <c r="D82" s="3" t="s">
        <v>391</v>
      </c>
      <c r="E82" s="2" t="s">
        <v>392</v>
      </c>
      <c r="F82" s="2" t="s">
        <v>393</v>
      </c>
      <c r="G82" s="2" t="s">
        <v>394</v>
      </c>
      <c r="H82" s="2" t="s">
        <v>395</v>
      </c>
      <c r="I82" s="2"/>
    </row>
    <row r="83" spans="1:9" ht="54" customHeight="1">
      <c r="A83" s="2" t="s">
        <v>476</v>
      </c>
      <c r="B83" s="2" t="s">
        <v>465</v>
      </c>
      <c r="C83" s="3" t="s">
        <v>467</v>
      </c>
      <c r="D83" s="3" t="s">
        <v>396</v>
      </c>
      <c r="E83" s="2" t="s">
        <v>397</v>
      </c>
      <c r="F83" s="2" t="s">
        <v>93</v>
      </c>
      <c r="G83" s="2" t="s">
        <v>94</v>
      </c>
      <c r="H83" s="2" t="s">
        <v>398</v>
      </c>
      <c r="I83" s="2"/>
    </row>
    <row r="84" spans="1:9" ht="54" customHeight="1">
      <c r="A84" s="2" t="s">
        <v>476</v>
      </c>
      <c r="B84" s="2" t="s">
        <v>465</v>
      </c>
      <c r="C84" s="3" t="s">
        <v>462</v>
      </c>
      <c r="D84" s="3" t="s">
        <v>399</v>
      </c>
      <c r="E84" s="2" t="s">
        <v>400</v>
      </c>
      <c r="F84" s="2" t="s">
        <v>401</v>
      </c>
      <c r="G84" s="2" t="s">
        <v>402</v>
      </c>
      <c r="H84" s="2" t="s">
        <v>403</v>
      </c>
      <c r="I84" s="2"/>
    </row>
    <row r="85" spans="1:9" ht="54" customHeight="1">
      <c r="A85" s="2" t="s">
        <v>477</v>
      </c>
      <c r="B85" s="2" t="s">
        <v>459</v>
      </c>
      <c r="C85" s="3" t="s">
        <v>462</v>
      </c>
      <c r="D85" s="3" t="s">
        <v>404</v>
      </c>
      <c r="E85" s="2" t="s">
        <v>405</v>
      </c>
      <c r="F85" s="2" t="s">
        <v>406</v>
      </c>
      <c r="G85" s="2" t="s">
        <v>407</v>
      </c>
      <c r="H85" s="2" t="s">
        <v>408</v>
      </c>
      <c r="I85" s="2"/>
    </row>
    <row r="86" spans="1:9" ht="54" customHeight="1">
      <c r="A86" s="2" t="s">
        <v>477</v>
      </c>
      <c r="B86" s="2" t="s">
        <v>474</v>
      </c>
      <c r="C86" s="3" t="s">
        <v>467</v>
      </c>
      <c r="D86" s="3" t="s">
        <v>409</v>
      </c>
      <c r="E86" s="2" t="s">
        <v>410</v>
      </c>
      <c r="F86" s="2" t="s">
        <v>411</v>
      </c>
      <c r="G86" s="2" t="s">
        <v>412</v>
      </c>
      <c r="H86" s="2" t="s">
        <v>413</v>
      </c>
      <c r="I86" s="2"/>
    </row>
    <row r="87" spans="1:9" ht="54" customHeight="1">
      <c r="A87" s="2" t="s">
        <v>477</v>
      </c>
      <c r="B87" s="2" t="s">
        <v>461</v>
      </c>
      <c r="C87" s="3" t="s">
        <v>467</v>
      </c>
      <c r="D87" s="3" t="s">
        <v>414</v>
      </c>
      <c r="E87" s="2" t="s">
        <v>415</v>
      </c>
      <c r="F87" s="2" t="s">
        <v>416</v>
      </c>
      <c r="G87" s="2" t="s">
        <v>417</v>
      </c>
      <c r="H87" s="2" t="s">
        <v>418</v>
      </c>
      <c r="I87" s="2"/>
    </row>
    <row r="88" spans="1:9" ht="54" customHeight="1">
      <c r="A88" s="2" t="s">
        <v>477</v>
      </c>
      <c r="B88" s="2" t="s">
        <v>474</v>
      </c>
      <c r="C88" s="3" t="s">
        <v>467</v>
      </c>
      <c r="D88" s="3" t="s">
        <v>419</v>
      </c>
      <c r="E88" s="2" t="s">
        <v>420</v>
      </c>
      <c r="F88" s="2" t="s">
        <v>421</v>
      </c>
      <c r="G88" s="2" t="s">
        <v>422</v>
      </c>
      <c r="H88" s="2" t="s">
        <v>423</v>
      </c>
      <c r="I88" s="2"/>
    </row>
    <row r="89" spans="1:9" ht="54" customHeight="1">
      <c r="A89" s="2" t="s">
        <v>477</v>
      </c>
      <c r="B89" s="2" t="s">
        <v>474</v>
      </c>
      <c r="C89" s="3" t="s">
        <v>467</v>
      </c>
      <c r="D89" s="3" t="s">
        <v>424</v>
      </c>
      <c r="E89" s="2" t="s">
        <v>425</v>
      </c>
      <c r="F89" s="2" t="s">
        <v>426</v>
      </c>
      <c r="G89" s="2" t="s">
        <v>427</v>
      </c>
      <c r="H89" s="2" t="s">
        <v>428</v>
      </c>
      <c r="I89" s="2"/>
    </row>
    <row r="90" spans="1:9" ht="54" customHeight="1">
      <c r="A90" s="2" t="s">
        <v>477</v>
      </c>
      <c r="B90" s="2" t="s">
        <v>474</v>
      </c>
      <c r="C90" s="3" t="s">
        <v>467</v>
      </c>
      <c r="D90" s="3" t="s">
        <v>429</v>
      </c>
      <c r="E90" s="2" t="s">
        <v>430</v>
      </c>
      <c r="F90" s="2" t="s">
        <v>431</v>
      </c>
      <c r="G90" s="2" t="s">
        <v>432</v>
      </c>
      <c r="H90" s="2" t="s">
        <v>433</v>
      </c>
      <c r="I90" s="2"/>
    </row>
    <row r="91" spans="1:9" ht="54" customHeight="1">
      <c r="A91" s="2" t="s">
        <v>477</v>
      </c>
      <c r="B91" s="2" t="s">
        <v>474</v>
      </c>
      <c r="C91" s="3" t="s">
        <v>467</v>
      </c>
      <c r="D91" s="3" t="s">
        <v>434</v>
      </c>
      <c r="E91" s="2" t="s">
        <v>435</v>
      </c>
      <c r="F91" s="2" t="s">
        <v>436</v>
      </c>
      <c r="G91" s="2" t="s">
        <v>437</v>
      </c>
      <c r="H91" s="2" t="s">
        <v>438</v>
      </c>
      <c r="I91" s="2"/>
    </row>
    <row r="92" spans="1:9" ht="54" customHeight="1">
      <c r="A92" s="2" t="s">
        <v>478</v>
      </c>
      <c r="B92" s="2" t="s">
        <v>479</v>
      </c>
      <c r="C92" s="3" t="s">
        <v>462</v>
      </c>
      <c r="D92" s="3" t="s">
        <v>439</v>
      </c>
      <c r="E92" s="2" t="s">
        <v>440</v>
      </c>
      <c r="F92" s="2" t="s">
        <v>441</v>
      </c>
      <c r="G92" s="2" t="s">
        <v>442</v>
      </c>
      <c r="H92" s="2" t="s">
        <v>443</v>
      </c>
      <c r="I92" s="2"/>
    </row>
    <row r="93" spans="1:9" ht="54" customHeight="1">
      <c r="A93" s="2" t="s">
        <v>478</v>
      </c>
      <c r="B93" s="2" t="s">
        <v>479</v>
      </c>
      <c r="C93" s="3" t="s">
        <v>462</v>
      </c>
      <c r="D93" s="3" t="s">
        <v>444</v>
      </c>
      <c r="E93" s="2" t="s">
        <v>445</v>
      </c>
      <c r="F93" s="2" t="s">
        <v>446</v>
      </c>
      <c r="G93" s="2" t="s">
        <v>447</v>
      </c>
      <c r="H93" s="2" t="s">
        <v>448</v>
      </c>
      <c r="I93" s="2"/>
    </row>
    <row r="94" spans="1:9" ht="54" customHeight="1">
      <c r="A94" s="2" t="s">
        <v>478</v>
      </c>
      <c r="B94" s="2" t="s">
        <v>479</v>
      </c>
      <c r="C94" s="3" t="s">
        <v>462</v>
      </c>
      <c r="D94" s="3" t="s">
        <v>449</v>
      </c>
      <c r="E94" s="2" t="s">
        <v>450</v>
      </c>
      <c r="F94" s="2" t="s">
        <v>451</v>
      </c>
      <c r="G94" s="2" t="s">
        <v>452</v>
      </c>
      <c r="H94" s="2" t="s">
        <v>453</v>
      </c>
      <c r="I94" s="2"/>
    </row>
  </sheetData>
  <mergeCells count="2">
    <mergeCell ref="A1:I1"/>
    <mergeCell ref="A2:I2"/>
  </mergeCells>
  <conditionalFormatting sqref="C4:C94">
    <cfRule type="containsText" dxfId="2" priority="1" operator="containsText" text="P0"/>
    <cfRule type="containsText" dxfId="1" priority="2" operator="containsText" text="P1"/>
    <cfRule type="containsText" dxfId="0" priority="3" operator="containsText" text="P2"/>
  </conditionalFormatting>
  <dataValidations count="3">
    <dataValidation type="list" sqref="A4:A94" xr:uid="{00000000-0002-0000-0100-000000000000}">
      <formula1>"Button Main &amp; Trợ lý Bi cô,Điều hướng học chủ đề,Luyện nói,Dịch tiếng Anh,Chủ đề &amp; lời mở đầu,Bài học &amp; đánh giá câu nói,Button Main trong bài học,Cuối bài &amp; học lại chủ đề,Từ vựng,H20 &amp; phần cứng"</formula1>
    </dataValidation>
    <dataValidation type="list" sqref="B4:B94" xr:uid="{00000000-0002-0000-0100-000002000000}">
      <formula1>"Chức năng,Điều hướng,Giọng nói / ASR,Audio / TTS,Trạng thái / Đồng bộ,Ngoại lệ / Phục hồi,Dữ liệu / Lưu trữ,UI / Hiển thị,Phần cứng / Offline"</formula1>
    </dataValidation>
    <dataValidation type="list" sqref="C4:C94" xr:uid="{00000000-0002-0000-0100-000003000000}">
      <formula1>"P0 - Critical,P1 - High,P2 - Medium"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F42B-2946-4BC6-86BA-15C96270EE66}">
  <dimension ref="A1:G8"/>
  <sheetViews>
    <sheetView tabSelected="1" workbookViewId="0">
      <selection activeCell="D21" sqref="D21"/>
    </sheetView>
  </sheetViews>
  <sheetFormatPr defaultRowHeight="13.8"/>
  <cols>
    <col min="1" max="1" width="15.19921875" customWidth="1"/>
    <col min="2" max="2" width="22.796875" customWidth="1"/>
    <col min="3" max="3" width="20.59765625" customWidth="1"/>
    <col min="4" max="4" width="18.8984375" customWidth="1"/>
    <col min="6" max="6" width="19.19921875" customWidth="1"/>
    <col min="7" max="7" width="25.796875" customWidth="1"/>
  </cols>
  <sheetData>
    <row r="1" spans="1:7" ht="27.6">
      <c r="A1" s="6" t="s">
        <v>481</v>
      </c>
      <c r="B1" s="7" t="s">
        <v>494</v>
      </c>
      <c r="C1" s="7" t="s">
        <v>487</v>
      </c>
      <c r="D1" s="7" t="s">
        <v>490</v>
      </c>
      <c r="E1" s="7" t="s">
        <v>491</v>
      </c>
      <c r="F1" s="7" t="s">
        <v>492</v>
      </c>
      <c r="G1" s="8" t="s">
        <v>493</v>
      </c>
    </row>
    <row r="2" spans="1:7" ht="26.4">
      <c r="A2" s="9" t="s">
        <v>482</v>
      </c>
      <c r="B2" s="9" t="s">
        <v>495</v>
      </c>
      <c r="C2" s="10" t="s">
        <v>488</v>
      </c>
      <c r="D2" s="11">
        <v>10</v>
      </c>
      <c r="E2" s="11">
        <v>10</v>
      </c>
      <c r="F2" s="11">
        <v>2</v>
      </c>
      <c r="G2" s="12">
        <f>(D2*E2)*F2</f>
        <v>200</v>
      </c>
    </row>
    <row r="3" spans="1:7" ht="26.4">
      <c r="A3" s="9" t="s">
        <v>483</v>
      </c>
      <c r="B3" s="10" t="s">
        <v>496</v>
      </c>
      <c r="C3" s="9" t="s">
        <v>488</v>
      </c>
      <c r="D3" s="13">
        <v>10</v>
      </c>
      <c r="E3" s="13">
        <v>10</v>
      </c>
      <c r="F3" s="13">
        <v>2</v>
      </c>
      <c r="G3" s="12">
        <f>(D3*E3)*F3</f>
        <v>200</v>
      </c>
    </row>
    <row r="4" spans="1:7" ht="26.4">
      <c r="A4" s="9" t="s">
        <v>484</v>
      </c>
      <c r="B4" s="9" t="s">
        <v>497</v>
      </c>
      <c r="C4" s="10" t="s">
        <v>488</v>
      </c>
      <c r="D4" s="11">
        <v>10</v>
      </c>
      <c r="E4" s="11">
        <v>10</v>
      </c>
      <c r="F4" s="11">
        <v>2</v>
      </c>
      <c r="G4" s="12">
        <f t="shared" ref="G3:G7" si="0">(D4*E4)*F4</f>
        <v>200</v>
      </c>
    </row>
    <row r="5" spans="1:7" ht="26.4">
      <c r="A5" s="9" t="s">
        <v>485</v>
      </c>
      <c r="B5" s="10" t="s">
        <v>498</v>
      </c>
      <c r="C5" s="9" t="s">
        <v>488</v>
      </c>
      <c r="D5" s="13">
        <v>10</v>
      </c>
      <c r="E5" s="13">
        <v>10</v>
      </c>
      <c r="F5" s="13">
        <v>2</v>
      </c>
      <c r="G5" s="12">
        <f t="shared" si="0"/>
        <v>200</v>
      </c>
    </row>
    <row r="6" spans="1:7" ht="39.6" customHeight="1">
      <c r="A6" s="9" t="s">
        <v>499</v>
      </c>
      <c r="B6" s="10" t="s">
        <v>498</v>
      </c>
      <c r="C6" s="10" t="s">
        <v>489</v>
      </c>
      <c r="D6" s="11">
        <v>10</v>
      </c>
      <c r="E6" s="11">
        <v>10</v>
      </c>
      <c r="F6" s="11">
        <v>2</v>
      </c>
      <c r="G6" s="12">
        <f t="shared" si="0"/>
        <v>200</v>
      </c>
    </row>
    <row r="7" spans="1:7" ht="37.200000000000003" customHeight="1">
      <c r="A7" s="9" t="s">
        <v>486</v>
      </c>
      <c r="B7" s="10" t="s">
        <v>498</v>
      </c>
      <c r="C7" s="9" t="s">
        <v>488</v>
      </c>
      <c r="D7" s="13">
        <v>10</v>
      </c>
      <c r="E7" s="13">
        <v>10</v>
      </c>
      <c r="F7" s="13">
        <v>2</v>
      </c>
      <c r="G7" s="12">
        <f t="shared" si="0"/>
        <v>200</v>
      </c>
    </row>
    <row r="8" spans="1:7">
      <c r="A8" s="14" t="s">
        <v>500</v>
      </c>
      <c r="B8" s="14"/>
      <c r="C8" s="14"/>
      <c r="D8" s="11">
        <f>SUM(D2:D7)</f>
        <v>60</v>
      </c>
      <c r="E8" s="11">
        <f>D8*10</f>
        <v>600</v>
      </c>
      <c r="F8" s="12">
        <f>E8*2</f>
        <v>1200</v>
      </c>
      <c r="G8" s="12">
        <f>SUM(G2:G7)</f>
        <v>1200</v>
      </c>
    </row>
  </sheetData>
  <mergeCells count="1">
    <mergeCell ref="A8:C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Child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2026-08-17T10:32:23Z</dcterms:modified>
</cp:coreProperties>
</file>